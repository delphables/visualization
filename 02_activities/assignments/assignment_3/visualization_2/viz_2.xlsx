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phine/DSI Assignments/visualization/02_activities/assignments/assignment_3/visualization_2/"/>
    </mc:Choice>
  </mc:AlternateContent>
  <xr:revisionPtr revIDLastSave="0" documentId="8_{90965271-B0D6-1849-979D-8D3F4CA301B8}" xr6:coauthVersionLast="47" xr6:coauthVersionMax="47" xr10:uidLastSave="{00000000-0000-0000-0000-000000000000}"/>
  <bookViews>
    <workbookView xWindow="0" yWindow="780" windowWidth="36000" windowHeight="22600" xr2:uid="{77B9D9CE-17D0-0F43-9229-9D67349D9DDE}"/>
  </bookViews>
  <sheets>
    <sheet name="Sheet4" sheetId="6" r:id="rId1"/>
    <sheet name="TTC_LRT_Delays" sheetId="4" r:id="rId2"/>
    <sheet name="CodeDescriptions" sheetId="5" r:id="rId3"/>
  </sheets>
  <definedNames>
    <definedName name="ExternalData_1" localSheetId="1" hidden="1">TTC_LRT_Delays!$A$1:$K$351</definedName>
    <definedName name="ExternalData_2" localSheetId="2" hidden="1">CodeDescriptions!$A$1:$C$131</definedName>
  </definedName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4" l="1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25A46B-3ABA-E94C-9DAC-C0879D05B644}" keepAlive="1" name="Query - Code Descriptions" description="Connection to the 'Code Descriptions' query in the workbook." type="5" refreshedVersion="8" background="1" saveData="1">
    <dbPr connection="Provider=Microsoft.Mashup.OleDb.1;Data Source=$Workbook$;Location=&quot;Code Descriptions&quot;;Extended Properties=&quot;&quot;" command="SELECT * FROM [Code Descriptions]"/>
  </connection>
  <connection id="2" xr16:uid="{83AF884D-67EE-1945-9EF5-CC4EEB6C6C62}" keepAlive="1" name="Query - TTC_LRT_Delays" description="Connection to the 'TTC_LRT_Delays' query in the workbook." type="5" refreshedVersion="8" background="1" saveData="1">
    <dbPr connection="Provider=Microsoft.Mashup.OleDb.1;Data Source=$Workbook$;Location=TTC_LRT_Delays;Extended Properties=&quot;&quot;" command="SELECT * FROM [TTC_LRT_Delays]"/>
  </connection>
</connections>
</file>

<file path=xl/sharedStrings.xml><?xml version="1.0" encoding="utf-8"?>
<sst xmlns="http://schemas.openxmlformats.org/spreadsheetml/2006/main" count="2038" uniqueCount="345">
  <si>
    <t>S</t>
  </si>
  <si>
    <t>E</t>
  </si>
  <si>
    <t>_id</t>
  </si>
  <si>
    <t>Date</t>
  </si>
  <si>
    <t>Line</t>
  </si>
  <si>
    <t>Time</t>
  </si>
  <si>
    <t>Day</t>
  </si>
  <si>
    <t>Station</t>
  </si>
  <si>
    <t>Code</t>
  </si>
  <si>
    <t>Min Delay</t>
  </si>
  <si>
    <t>Min Gap</t>
  </si>
  <si>
    <t>Bound</t>
  </si>
  <si>
    <t>Vehicle</t>
  </si>
  <si>
    <t>FW</t>
  </si>
  <si>
    <t>Sunday</t>
  </si>
  <si>
    <t>FINCH WEST FWLRT STATI</t>
  </si>
  <si>
    <t>TXDOE</t>
  </si>
  <si>
    <t>W</t>
  </si>
  <si>
    <t>MILVAN RUMIKE STOP</t>
  </si>
  <si>
    <t>EXTM</t>
  </si>
  <si>
    <t>EXBK</t>
  </si>
  <si>
    <t>HUMBER COLLEGE STOP</t>
  </si>
  <si>
    <t>EXBO</t>
  </si>
  <si>
    <t>MXTO</t>
  </si>
  <si>
    <t>None</t>
  </si>
  <si>
    <t>TOBERMORY STOP</t>
  </si>
  <si>
    <t>EXO</t>
  </si>
  <si>
    <t>ROWNTREE MILLS STOP</t>
  </si>
  <si>
    <t>EMERY STOP</t>
  </si>
  <si>
    <t>TXO</t>
  </si>
  <si>
    <t>NORFINCH OAKDALE STOP</t>
  </si>
  <si>
    <t>TXOS</t>
  </si>
  <si>
    <t>MXO</t>
  </si>
  <si>
    <t>SIGNET ARROW STOP</t>
  </si>
  <si>
    <t>SENTINEL STOP</t>
  </si>
  <si>
    <t>PEARLDALE STOP</t>
  </si>
  <si>
    <t>MXIS</t>
  </si>
  <si>
    <t>MARTIN GROVE STOP</t>
  </si>
  <si>
    <t>MXUS</t>
  </si>
  <si>
    <t>EXDO</t>
  </si>
  <si>
    <t>Monday</t>
  </si>
  <si>
    <t>FINCH WEST STATION</t>
  </si>
  <si>
    <t>PXWZ</t>
  </si>
  <si>
    <t>TXNIP</t>
  </si>
  <si>
    <t>JANE FWLRT STOP</t>
  </si>
  <si>
    <t>TXOVS</t>
  </si>
  <si>
    <t>EXAC</t>
  </si>
  <si>
    <t>ALBION STOP</t>
  </si>
  <si>
    <t>PXSTP</t>
  </si>
  <si>
    <t>N</t>
  </si>
  <si>
    <t>DRIFTWOOD STOP</t>
  </si>
  <si>
    <t>ENTERING MSF</t>
  </si>
  <si>
    <t>Tuesday</t>
  </si>
  <si>
    <t>WESTMORE STOP</t>
  </si>
  <si>
    <t>PXSW</t>
  </si>
  <si>
    <t>SXO</t>
  </si>
  <si>
    <t>ISLINGTON</t>
  </si>
  <si>
    <t>HUMBER COLLEGE STOP TO</t>
  </si>
  <si>
    <t>MXST</t>
  </si>
  <si>
    <t>Wednesday</t>
  </si>
  <si>
    <t>PXTIS</t>
  </si>
  <si>
    <t>HUMBER COLLEGE STOP (L</t>
  </si>
  <si>
    <t>DUNCANWOODS STOP</t>
  </si>
  <si>
    <t>HUMBER COLLEGE STATION</t>
  </si>
  <si>
    <t>STEVENSON STOP</t>
  </si>
  <si>
    <t>MXAFR</t>
  </si>
  <si>
    <t>YORKGATE</t>
  </si>
  <si>
    <t>EXHV</t>
  </si>
  <si>
    <t>PXSIS</t>
  </si>
  <si>
    <t>Thursday</t>
  </si>
  <si>
    <t>JANE AND FINCH</t>
  </si>
  <si>
    <t>EXNEA</t>
  </si>
  <si>
    <t>MXIE</t>
  </si>
  <si>
    <t>EXCE</t>
  </si>
  <si>
    <t>EXGA</t>
  </si>
  <si>
    <t>Friday</t>
  </si>
  <si>
    <t>TXCC</t>
  </si>
  <si>
    <t>JANE AND FINCH STOP</t>
  </si>
  <si>
    <t>YORKGATE BLVD</t>
  </si>
  <si>
    <t>EXATC</t>
  </si>
  <si>
    <t>EXSA</t>
  </si>
  <si>
    <t>Saturday</t>
  </si>
  <si>
    <t>EXECD</t>
  </si>
  <si>
    <t>EXTR</t>
  </si>
  <si>
    <t>SXDP</t>
  </si>
  <si>
    <t>PXDCS</t>
  </si>
  <si>
    <t>ROWNTREE MILLS STOP (A</t>
  </si>
  <si>
    <t>YORK GATE</t>
  </si>
  <si>
    <t>YORK GATE FWMSF</t>
  </si>
  <si>
    <t>DUNCANWOODS STOP (ENTE</t>
  </si>
  <si>
    <t>WESTMORE STOP (ENETERI</t>
  </si>
  <si>
    <t>MXPAA</t>
  </si>
  <si>
    <t>PXTDN</t>
  </si>
  <si>
    <t>FINCH WEST FWLRT LINE</t>
  </si>
  <si>
    <t>PXSCA</t>
  </si>
  <si>
    <t>HUMBER COLLEGE STOP -</t>
  </si>
  <si>
    <t>MOUNT OLIVE STOP</t>
  </si>
  <si>
    <t>FWMSF</t>
  </si>
  <si>
    <t>EXYRD</t>
  </si>
  <si>
    <t>NORTH HANDOVER</t>
  </si>
  <si>
    <t>TXS</t>
  </si>
  <si>
    <t>145 HUMBER COLLEGE BLV</t>
  </si>
  <si>
    <t>PXEAS</t>
  </si>
  <si>
    <t>HOPP 1</t>
  </si>
  <si>
    <t>HUMBER 2 PLATFORM</t>
  </si>
  <si>
    <t>PXTS</t>
  </si>
  <si>
    <t>FWLRT YARD</t>
  </si>
  <si>
    <t>HAND OVER PLATFORM</t>
  </si>
  <si>
    <t>SXUEG</t>
  </si>
  <si>
    <t>MXIR</t>
  </si>
  <si>
    <t>SIGNET ARROW STOP TO F</t>
  </si>
  <si>
    <t>MILVAN RUMIKE STOP TO</t>
  </si>
  <si>
    <t>MXD</t>
  </si>
  <si>
    <t>FINCH WEST FWLRT</t>
  </si>
  <si>
    <t>WESTMORE (APPROACHING)</t>
  </si>
  <si>
    <t>TXST</t>
  </si>
  <si>
    <t>FINCH WEST LRV STOP</t>
  </si>
  <si>
    <t>TXSUP</t>
  </si>
  <si>
    <t>APPRAOACHING AT FINCH</t>
  </si>
  <si>
    <t>FINCH WEST YARD</t>
  </si>
  <si>
    <t>WESTMORE TO MILVAN RU</t>
  </si>
  <si>
    <t>MXGD</t>
  </si>
  <si>
    <t>FINCH AVENUE AND HIGHW</t>
  </si>
  <si>
    <t>TXNOA</t>
  </si>
  <si>
    <t>FINCH WEST TO SENTINEL</t>
  </si>
  <si>
    <t>HUMBER COLLEGE STOP (A</t>
  </si>
  <si>
    <t>SENTINAL STOP</t>
  </si>
  <si>
    <t>EXWS</t>
  </si>
  <si>
    <t>MXNOA</t>
  </si>
  <si>
    <t>TXCL</t>
  </si>
  <si>
    <t>MXWEA</t>
  </si>
  <si>
    <t>MXIRS</t>
  </si>
  <si>
    <t>MXPLC</t>
  </si>
  <si>
    <t>KENNEDY STATION</t>
  </si>
  <si>
    <t>FINCH WEST STATION CRO</t>
  </si>
  <si>
    <t>HUMBER COLLEGE</t>
  </si>
  <si>
    <t>EXWA</t>
  </si>
  <si>
    <t>CODE</t>
  </si>
  <si>
    <t>DESCRIPTION</t>
  </si>
  <si>
    <t>HVAC</t>
  </si>
  <si>
    <t>EXADD</t>
  </si>
  <si>
    <t>PANTO AUTOMATIC DROPDOWN</t>
  </si>
  <si>
    <t>S&amp;TCS CARBORNE EQUIPMENT</t>
  </si>
  <si>
    <t>BRAKES</t>
  </si>
  <si>
    <t>BODY</t>
  </si>
  <si>
    <t>EXCB</t>
  </si>
  <si>
    <t>COUPLER BARRIER</t>
  </si>
  <si>
    <t>COMMUNICATION EQUIPMENT (INCLUDES STOP ANNOUNCEMENT)</t>
  </si>
  <si>
    <t>EXCO</t>
  </si>
  <si>
    <t>COUPLERS</t>
  </si>
  <si>
    <t>EXDB</t>
  </si>
  <si>
    <t>DISC BRAKES</t>
  </si>
  <si>
    <t>DOOR PROBLEMS (FAULTY EQUIPMENT)</t>
  </si>
  <si>
    <t>ECD/LINE MECHANIC RELATED</t>
  </si>
  <si>
    <t>GIDS ACTIVATION</t>
  </si>
  <si>
    <t>EXGF</t>
  </si>
  <si>
    <t>GIDS FAILURE</t>
  </si>
  <si>
    <t>HIGH VOLTAGE</t>
  </si>
  <si>
    <t>EXLT</t>
  </si>
  <si>
    <t>LIGHTING SYSTEMS</t>
  </si>
  <si>
    <t>NO EQUIPMENT AVAILABLE</t>
  </si>
  <si>
    <t>EXNT</t>
  </si>
  <si>
    <t>EQUIPMENT – NO TROUBLE FOUND</t>
  </si>
  <si>
    <t>EQUIPMENT - OTHER</t>
  </si>
  <si>
    <t>EXOE</t>
  </si>
  <si>
    <t>MAINTENANCE VEHICLE OPERATOR ERROR (SIGNAL VIOLATION, ETC.)</t>
  </si>
  <si>
    <t>EXOSC</t>
  </si>
  <si>
    <t>EQUIPMENT OSCILLATION</t>
  </si>
  <si>
    <t>EXPD</t>
  </si>
  <si>
    <t>MAINTAINER COLLISION - PROPERTY DAMAGE</t>
  </si>
  <si>
    <t>EXPI</t>
  </si>
  <si>
    <t>MAINTAINER COLLISION - PERSONAL INJURY</t>
  </si>
  <si>
    <t>SANDERS</t>
  </si>
  <si>
    <t>EXSE</t>
  </si>
  <si>
    <t>SECURITY EQUIPMENT (CAMERAS)</t>
  </si>
  <si>
    <t>EXTB</t>
  </si>
  <si>
    <t>TRACK BRAKES</t>
  </si>
  <si>
    <t>TRACTION MOTORS</t>
  </si>
  <si>
    <t>TRUCKS</t>
  </si>
  <si>
    <t>EXVC</t>
  </si>
  <si>
    <t>VEHICLE CONTROLS</t>
  </si>
  <si>
    <t>EXVE</t>
  </si>
  <si>
    <t>WORK VEHICLE</t>
  </si>
  <si>
    <t>VEHICLE (SOURCE OF PROBLEM NOT KNOWN)</t>
  </si>
  <si>
    <t>WARNING / ALARM SYSTEM / PASSENGER SECURITY SYSTEM / CCTV</t>
  </si>
  <si>
    <t>EXWM</t>
  </si>
  <si>
    <t>WAYSIDE MONITOR FAILURE</t>
  </si>
  <si>
    <t>WINDSHIELD / WIPERS</t>
  </si>
  <si>
    <t>YARD-/CARHOUSE-RELATED PROBLEMS</t>
  </si>
  <si>
    <t>AUTO FOUL RAIL</t>
  </si>
  <si>
    <t>MXCL</t>
  </si>
  <si>
    <t>DIVISIONAL CLERK RELATED</t>
  </si>
  <si>
    <t>MXCSA</t>
  </si>
  <si>
    <t>NO CSA AVAILABLE – ESA RELATED</t>
  </si>
  <si>
    <t>DOOR PROBLEMS – PASSENGER RELATED</t>
  </si>
  <si>
    <t>MXDD</t>
  </si>
  <si>
    <t>DOOR PROBLEMS – DEBRIS RELATED</t>
  </si>
  <si>
    <t>MXESA</t>
  </si>
  <si>
    <t>NO OPERATOR AVAILABLE – E.S.A. RELATED</t>
  </si>
  <si>
    <t>MXFM</t>
  </si>
  <si>
    <t>“FORCE MAJEURE” – DELAY OVER 90 MIN. (WEATHER OR MAJOR EVENT)</t>
  </si>
  <si>
    <t>MXFS</t>
  </si>
  <si>
    <t>FIRE/SMOKE PLAN B – SOURCE EXTERNAL TO THE LRT</t>
  </si>
  <si>
    <t>MISCELLANEOUS GENERAL LINE DELAYS</t>
  </si>
  <si>
    <t>MXI</t>
  </si>
  <si>
    <t>INJURED/ILL CUSTOMER ON TRAIN – TRANSPORTED</t>
  </si>
  <si>
    <t>MXIC</t>
  </si>
  <si>
    <t>INJURED MAINTAINER EMPLOYEE</t>
  </si>
  <si>
    <t>INJURED TTC EMPLOYEE</t>
  </si>
  <si>
    <t>INJURED/ILL CUSTOMER ON TRAIN – MEDICAL AID REFUSED</t>
  </si>
  <si>
    <t>INJURED/ILL CUSTOMER IN STATION/STOP – MEDICAL AID REFUSED</t>
  </si>
  <si>
    <t>INJURED/ILL CUSTOMER IN STATION/STOP – TRANSPORTED</t>
  </si>
  <si>
    <t>MXLDC</t>
  </si>
  <si>
    <t>LABOUR DISPUTE RELATED – MAINTAINER</t>
  </si>
  <si>
    <t>MXLDT</t>
  </si>
  <si>
    <t>LABOUR DISPUTE RELATED – TTC</t>
  </si>
  <si>
    <t>MXNCA</t>
  </si>
  <si>
    <t>NO CSA AVAILABLE – NON ESA RELATED</t>
  </si>
  <si>
    <t>NO OPERATOR AVAILABLE – NON ESA RELATED</t>
  </si>
  <si>
    <t>MISCELLANEOUS OTHER</t>
  </si>
  <si>
    <t>EA – NO TROUBLE FOUND</t>
  </si>
  <si>
    <t>MXPF</t>
  </si>
  <si>
    <t>EXTERNAL POWER FAILURE</t>
  </si>
  <si>
    <t>MXPLA</t>
  </si>
  <si>
    <t>FIRE/SMOKE PLAN A</t>
  </si>
  <si>
    <t>MXPLB</t>
  </si>
  <si>
    <t>FIRE/SMOKE PLAN B – SOURCE LRT</t>
  </si>
  <si>
    <t>FIRE SMOKE PLAN C</t>
  </si>
  <si>
    <t>MXPR</t>
  </si>
  <si>
    <t>PARADES/RACES/MARCHES</t>
  </si>
  <si>
    <t>MXPR1</t>
  </si>
  <si>
    <t>PRIORITY ONE – TRAIN IN CONTACT WITH PERSON</t>
  </si>
  <si>
    <t>MXPU</t>
  </si>
  <si>
    <t>USED AS A PUSHER</t>
  </si>
  <si>
    <t>MXSAN</t>
  </si>
  <si>
    <t>UNSANITARY VEHICLE</t>
  </si>
  <si>
    <t>MXTD</t>
  </si>
  <si>
    <t>TRAINING DEPT. RELATED DELAYS</t>
  </si>
  <si>
    <t>MISCELLANEOUS TRANSPORTATION OTHER (EMPLOYEE NON-CHARGEABLE)</t>
  </si>
  <si>
    <t>UNABLE TO MAINT SCHED DUE TO TRAFFIC/PASSENGER CONGESTION</t>
  </si>
  <si>
    <t>WEATHER REPORTS / RELATED PROBLEMS</t>
  </si>
  <si>
    <t>MXWR</t>
  </si>
  <si>
    <t>WORK REFUSAL</t>
  </si>
  <si>
    <t>PXATC</t>
  </si>
  <si>
    <t>S&amp;TCS COMMUNICATIONS/SERVER FAILURE</t>
  </si>
  <si>
    <t>DATA COMMUNICATIONS SYSTEM FAILURE</t>
  </si>
  <si>
    <t>EMERGENCY ALARM STATIONS</t>
  </si>
  <si>
    <t>PXEME</t>
  </si>
  <si>
    <t>ELECTRICAL – MAINTENANCE ERROR</t>
  </si>
  <si>
    <t>PXEO</t>
  </si>
  <si>
    <t>ELECTRICAL – OTHER</t>
  </si>
  <si>
    <t>PXMEL</t>
  </si>
  <si>
    <t>ANY ESCL. OR ELEV. INCIDENT – TRANSPORTED OR MEDICAL AID DECLINED</t>
  </si>
  <si>
    <t>PXMO</t>
  </si>
  <si>
    <t>INFRASTRUCTURE MAINTENANCE – OTHER</t>
  </si>
  <si>
    <t>PXMST</t>
  </si>
  <si>
    <t>ANY STAIRWAY INCIDENT – TRANSPORTED OR MEDICAL AID DECLINED</t>
  </si>
  <si>
    <t>PXOV</t>
  </si>
  <si>
    <t>OVERHEAD DEFECT</t>
  </si>
  <si>
    <t>PXSAC</t>
  </si>
  <si>
    <t>SIGNALS AXLE COUNTER BLOCK FAILURE</t>
  </si>
  <si>
    <t>PXSBE</t>
  </si>
  <si>
    <t>NORMING POINT FAILURE</t>
  </si>
  <si>
    <t>SCADA-RELATED PROBLEMS</t>
  </si>
  <si>
    <t>PXSCR</t>
  </si>
  <si>
    <t>TRAIN RADIO FAULT</t>
  </si>
  <si>
    <t>PXSI</t>
  </si>
  <si>
    <t>SIGNAL OR RELATED COMPONENTS FAILURE</t>
  </si>
  <si>
    <t>SIGNALS-/TRACK-/WEATHER-RELATED ISSUES</t>
  </si>
  <si>
    <t>PXSNT</t>
  </si>
  <si>
    <t>SIGNAL PROBLEM – NO TROUBLE FOUND</t>
  </si>
  <si>
    <t>PXSO</t>
  </si>
  <si>
    <t>SIGNALS – OTHER</t>
  </si>
  <si>
    <t>PXSRA</t>
  </si>
  <si>
    <t>LRT RADIO SYSTEM PROBLEMS</t>
  </si>
  <si>
    <t>TRACTION POWER OR RELATED COMPONENTS FAILURE</t>
  </si>
  <si>
    <t>TRACK SWITCH FAILURE</t>
  </si>
  <si>
    <t>PXTD</t>
  </si>
  <si>
    <t>DEBRIS AT TRACK LEVEL – CONTROLLABLE</t>
  </si>
  <si>
    <t>DEBRIS AT TRACK LEVEL – NON-CONTROLLABLE</t>
  </si>
  <si>
    <t>ICE-/SNOW-RELATED PROBLEM</t>
  </si>
  <si>
    <t>PXTR</t>
  </si>
  <si>
    <t>RAIL-RELATED PROBLEM</t>
  </si>
  <si>
    <t>STRUCTURE-RELATED PROBLEM</t>
  </si>
  <si>
    <t>PXW</t>
  </si>
  <si>
    <t>TRACK DEFECT</t>
  </si>
  <si>
    <t>WORK ZONE PROBLEMS</t>
  </si>
  <si>
    <t>SXAE</t>
  </si>
  <si>
    <t>ASSAULT – EMPLOYEE INVOLVED</t>
  </si>
  <si>
    <t>SXAM</t>
  </si>
  <si>
    <t>ASSAULT - MAINTAINER</t>
  </si>
  <si>
    <t>SXAP</t>
  </si>
  <si>
    <t>ASSAULT – CUSTOMER INVOLVED</t>
  </si>
  <si>
    <t>SXAX</t>
  </si>
  <si>
    <t>ASSAULT – MAINTAINER INVOLVED</t>
  </si>
  <si>
    <t>SXBT</t>
  </si>
  <si>
    <t>BOMB THREAT</t>
  </si>
  <si>
    <t>SXCOL</t>
  </si>
  <si>
    <t>STATION ATTENDANT BOOTH SILENT ALARM ACTIVATED</t>
  </si>
  <si>
    <t>DISORDERLY PATRON</t>
  </si>
  <si>
    <t>SXEAS</t>
  </si>
  <si>
    <t>EAS ACTIVATED – NO TROUBLE FOUND</t>
  </si>
  <si>
    <t>SXG</t>
  </si>
  <si>
    <t>GRAFFITI/SCRATCHITI</t>
  </si>
  <si>
    <t>SECURITY OTHER</t>
  </si>
  <si>
    <t>SXPOL</t>
  </si>
  <si>
    <t>HELD BY POLICE – NON-TTC-RELATED</t>
  </si>
  <si>
    <t>SXROB</t>
  </si>
  <si>
    <t>ROBBERY</t>
  </si>
  <si>
    <t>SXSA</t>
  </si>
  <si>
    <t>SEXUAL ASSAULT</t>
  </si>
  <si>
    <t>SXSP</t>
  </si>
  <si>
    <t>SUSPICIOUS PACKAGE</t>
  </si>
  <si>
    <t>UNAUTHORIZED IN THE EXCLUSIVE GUIDEWAY</t>
  </si>
  <si>
    <t>TXATC</t>
  </si>
  <si>
    <t>OPERATOR MISS DOCKING POINTS</t>
  </si>
  <si>
    <t>TRANSIT CONTROL RELATED – LRT CONTROLLER ERROR</t>
  </si>
  <si>
    <t>DOORS OPEN IN ERROR</t>
  </si>
  <si>
    <t>TXLF</t>
  </si>
  <si>
    <t>LATE ENTERING SERVICE – FIRST VEHICLE</t>
  </si>
  <si>
    <t>TXML</t>
  </si>
  <si>
    <t>MAINLINE STORAGE</t>
  </si>
  <si>
    <t>TXMVS</t>
  </si>
  <si>
    <t>OPERATOR VIOLATED SIGNAL</t>
  </si>
  <si>
    <t>TXNCA</t>
  </si>
  <si>
    <t>NO CSA AVAILABLE</t>
  </si>
  <si>
    <t>OPERATOR NOT IN POSTION</t>
  </si>
  <si>
    <t>NO OPERATOR AVAILABLE</t>
  </si>
  <si>
    <t>TRANSPORTATION OTHER</t>
  </si>
  <si>
    <t>TXOI</t>
  </si>
  <si>
    <t>ON BOARD INJURY</t>
  </si>
  <si>
    <t>OPERATOR OVERSHOT PLATFORM</t>
  </si>
  <si>
    <t>OPERATOR OVERSPEED</t>
  </si>
  <si>
    <t>TXPD</t>
  </si>
  <si>
    <t>TTC COLLISION – PROPERTY DAMAGE</t>
  </si>
  <si>
    <t>TXPI</t>
  </si>
  <si>
    <t>TTC COLLISION – PERSONAL INJURY</t>
  </si>
  <si>
    <t>UNABLE TO MAINTAIN SCHEDULE</t>
  </si>
  <si>
    <t>STORM TRAINS</t>
  </si>
  <si>
    <t>SUPERVISORY ERROR</t>
  </si>
  <si>
    <t>TXSV</t>
  </si>
  <si>
    <t>Description</t>
  </si>
  <si>
    <t>Row Labels</t>
  </si>
  <si>
    <t>Grand Total</t>
  </si>
  <si>
    <t>Count of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</si>
</sst>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[viz_2.xlsx]Sheet4!PivotTable1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TTC LRT Delay Causes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EQUIPMENT - OTHER</c:v>
                </c:pt>
                <c:pt idx="1">
                  <c:v>BRAKES</c:v>
                </c:pt>
                <c:pt idx="2">
                  <c:v>TRACK SWITCH FAILURE</c:v>
                </c:pt>
                <c:pt idx="3">
                  <c:v>OPERATOR OVERSPEED</c:v>
                </c:pt>
                <c:pt idx="4">
                  <c:v>HVAC</c:v>
                </c:pt>
                <c:pt idx="5">
                  <c:v>TRACTION MOTORS</c:v>
                </c:pt>
                <c:pt idx="6">
                  <c:v>TRANSPORTATION OTHER</c:v>
                </c:pt>
                <c:pt idx="7">
                  <c:v>MISCELLANEOUS TRANSPORTATION OTHER (EMPLOYEE NON-CHARGEABLE)</c:v>
                </c:pt>
                <c:pt idx="8">
                  <c:v>UNABLE TO MAINT SCHED DUE TO TRAFFIC/PASSENGER CONGESTION</c:v>
                </c:pt>
                <c:pt idx="9">
                  <c:v>NO EQUIPMENT AVAILABLE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56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23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E-6E4E-BCB6-3C05D6AE2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314176"/>
        <c:axId val="1351015872"/>
      </c:barChart>
      <c:catAx>
        <c:axId val="13193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015872"/>
        <c:crosses val="autoZero"/>
        <c:auto val="1"/>
        <c:lblAlgn val="ctr"/>
        <c:lblOffset val="100"/>
        <c:noMultiLvlLbl val="0"/>
      </c:catAx>
      <c:valAx>
        <c:axId val="13510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1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15</xdr:row>
      <xdr:rowOff>44450</xdr:rowOff>
    </xdr:from>
    <xdr:to>
      <xdr:col>3</xdr:col>
      <xdr:colOff>342900</xdr:colOff>
      <xdr:row>40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A419C-6809-753A-5C0A-2E015E813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phine" refreshedDate="46070.518504398147" createdVersion="8" refreshedVersion="8" minRefreshableVersion="3" recordCount="351" xr:uid="{62AB8F39-725B-A549-BBD9-38F4DA844AE4}">
  <cacheSource type="worksheet">
    <worksheetSource ref="A1:L1048576" sheet="TTC_LRT_Delays"/>
  </cacheSource>
  <cacheFields count="12">
    <cacheField name="_id" numFmtId="0">
      <sharedItems containsString="0" containsBlank="1" containsNumber="1" containsInteger="1" minValue="1" maxValue="350"/>
    </cacheField>
    <cacheField name="Date" numFmtId="0">
      <sharedItems containsNonDate="0" containsDate="1" containsString="0" containsBlank="1" minDate="2025-12-07T00:00:00" maxDate="2026-01-01T00:00:00"/>
    </cacheField>
    <cacheField name="Line" numFmtId="0">
      <sharedItems containsBlank="1"/>
    </cacheField>
    <cacheField name="Time" numFmtId="0">
      <sharedItems containsNonDate="0" containsDate="1" containsString="0" containsBlank="1" minDate="1899-12-30T00:12:00" maxDate="1899-12-30T23:32:00"/>
    </cacheField>
    <cacheField name="Day" numFmtId="0">
      <sharedItems containsBlank="1"/>
    </cacheField>
    <cacheField name="Station" numFmtId="0">
      <sharedItems containsBlank="1"/>
    </cacheField>
    <cacheField name="Code" numFmtId="0">
      <sharedItems containsBlank="1"/>
    </cacheField>
    <cacheField name="Min Delay" numFmtId="0">
      <sharedItems containsString="0" containsBlank="1" containsNumber="1" containsInteger="1" minValue="0" maxValue="355"/>
    </cacheField>
    <cacheField name="Min Gap" numFmtId="0">
      <sharedItems containsString="0" containsBlank="1" containsNumber="1" containsInteger="1" minValue="0" maxValue="365"/>
    </cacheField>
    <cacheField name="Bound" numFmtId="0">
      <sharedItems containsBlank="1"/>
    </cacheField>
    <cacheField name="Vehicle" numFmtId="0">
      <sharedItems containsString="0" containsBlank="1" containsNumber="1" containsInteger="1" minValue="0" maxValue="6517"/>
    </cacheField>
    <cacheField name="Description" numFmtId="0">
      <sharedItems containsBlank="1" count="56">
        <s v="DOORS OPEN IN ERROR"/>
        <s v="TRACTION MOTORS"/>
        <s v="BRAKES"/>
        <s v="BODY"/>
        <s v="MISCELLANEOUS TRANSPORTATION OTHER (EMPLOYEE NON-CHARGEABLE)"/>
        <s v="EQUIPMENT - OTHER"/>
        <s v="TRANSPORTATION OTHER"/>
        <s v="OPERATOR OVERSHOT PLATFORM"/>
        <s v="MISCELLANEOUS OTHER"/>
        <s v="INJURED/ILL CUSTOMER IN STATION/STOP – TRANSPORTED"/>
        <s v="UNABLE TO MAINT SCHED DUE TO TRAFFIC/PASSENGER CONGESTION"/>
        <s v="DOOR PROBLEMS (FAULTY EQUIPMENT)"/>
        <s v="WORK ZONE PROBLEMS"/>
        <s v="OPERATOR NOT IN POSTION"/>
        <s v="OPERATOR OVERSPEED"/>
        <s v="HVAC"/>
        <s v="TRACTION POWER OR RELATED COMPONENTS FAILURE"/>
        <s v="TRACK SWITCH FAILURE"/>
        <s v="SECURITY OTHER"/>
        <s v="Unknown"/>
        <s v="ICE-/SNOW-RELATED PROBLEM"/>
        <s v="AUTO FOUL RAIL"/>
        <s v="HIGH VOLTAGE"/>
        <s v="SIGNALS-/TRACK-/WEATHER-RELATED ISSUES"/>
        <s v="NO EQUIPMENT AVAILABLE"/>
        <s v="INJURED TTC EMPLOYEE"/>
        <s v="COMMUNICATION EQUIPMENT (INCLUDES STOP ANNOUNCEMENT)"/>
        <s v="GIDS ACTIVATION"/>
        <s v="TRANSIT CONTROL RELATED – LRT CONTROLLER ERROR"/>
        <s v="S&amp;TCS CARBORNE EQUIPMENT"/>
        <s v="SANDERS"/>
        <s v="ECD/LINE MECHANIC RELATED"/>
        <s v="TRUCKS"/>
        <s v="DISORDERLY PATRON"/>
        <s v="DATA COMMUNICATIONS SYSTEM FAILURE"/>
        <s v="EA – NO TROUBLE FOUND"/>
        <s v="DEBRIS AT TRACK LEVEL – NON-CONTROLLABLE"/>
        <s v="SCADA-RELATED PROBLEMS"/>
        <s v="YARD-/CARHOUSE-RELATED PROBLEMS"/>
        <s v="UNABLE TO MAINTAIN SCHEDULE"/>
        <s v="EMERGENCY ALARM STATIONS"/>
        <s v="STRUCTURE-RELATED PROBLEM"/>
        <s v="UNAUTHORIZED IN THE EXCLUSIVE GUIDEWAY"/>
        <s v="INJURED/ILL CUSTOMER ON TRAIN – MEDICAL AID REFUSED"/>
        <s v="DOOR PROBLEMS – PASSENGER RELATED"/>
        <s v="STORM TRAINS"/>
        <s v="SUPERVISORY ERROR"/>
        <s v="MISCELLANEOUS GENERAL LINE DELAYS"/>
        <s v="NO OPERATOR AVAILABLE"/>
        <s v="WINDSHIELD / WIPERS"/>
        <s v="NO OPERATOR AVAILABLE – NON ESA RELATED"/>
        <s v="WEATHER REPORTS / RELATED PROBLEMS"/>
        <s v="INJURED/ILL CUSTOMER IN STATION/STOP – MEDICAL AID REFUSED"/>
        <s v="FIRE SMOKE PLAN C"/>
        <s v="WARNING / ALARM SYSTEM / PASSENGER SECURITY SYSTEM / CCTV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1"/>
    <d v="2025-12-07T00:00:00"/>
    <s v="FW"/>
    <d v="1899-12-30T07:29:00"/>
    <s v="Sunday"/>
    <s v="FINCH WEST FWLRT STATI"/>
    <s v="TXDOE"/>
    <n v="0"/>
    <n v="0"/>
    <s v="W"/>
    <n v="6509"/>
    <x v="0"/>
  </r>
  <r>
    <n v="2"/>
    <d v="2025-12-07T00:00:00"/>
    <s v="FW"/>
    <d v="1899-12-30T09:17:00"/>
    <s v="Sunday"/>
    <s v="MILVAN RUMIKE STOP"/>
    <s v="EXTM"/>
    <n v="7"/>
    <n v="17"/>
    <s v="W"/>
    <n v="6501"/>
    <x v="1"/>
  </r>
  <r>
    <n v="3"/>
    <d v="2025-12-07T00:00:00"/>
    <s v="FW"/>
    <d v="1899-12-30T09:25:00"/>
    <s v="Sunday"/>
    <s v="MILVAN RUMIKE STOP"/>
    <s v="EXBK"/>
    <n v="5"/>
    <n v="15"/>
    <s v="E"/>
    <n v="6512"/>
    <x v="2"/>
  </r>
  <r>
    <n v="4"/>
    <d v="2025-12-07T00:00:00"/>
    <s v="FW"/>
    <d v="1899-12-30T09:34:00"/>
    <s v="Sunday"/>
    <s v="HUMBER COLLEGE STOP"/>
    <s v="EXBO"/>
    <n v="4"/>
    <n v="14"/>
    <s v="E"/>
    <n v="6502"/>
    <x v="3"/>
  </r>
  <r>
    <n v="5"/>
    <d v="2025-12-07T00:00:00"/>
    <s v="FW"/>
    <d v="1899-12-30T09:55:00"/>
    <s v="Sunday"/>
    <s v="HUMBER COLLEGE STOP"/>
    <s v="MXTO"/>
    <n v="5"/>
    <n v="15"/>
    <s v="None"/>
    <n v="6508"/>
    <x v="4"/>
  </r>
  <r>
    <n v="6"/>
    <d v="2025-12-07T00:00:00"/>
    <s v="FW"/>
    <d v="1899-12-30T10:05:00"/>
    <s v="Sunday"/>
    <s v="TOBERMORY STOP"/>
    <s v="EXBK"/>
    <n v="4"/>
    <n v="14"/>
    <s v="E"/>
    <n v="6514"/>
    <x v="2"/>
  </r>
  <r>
    <n v="7"/>
    <d v="2025-12-07T00:00:00"/>
    <s v="FW"/>
    <d v="1899-12-30T10:10:00"/>
    <s v="Sunday"/>
    <s v="FINCH WEST FWLRT STATI"/>
    <s v="EXO"/>
    <n v="15"/>
    <n v="25"/>
    <s v="E"/>
    <n v="6502"/>
    <x v="5"/>
  </r>
  <r>
    <n v="8"/>
    <d v="2025-12-07T00:00:00"/>
    <s v="FW"/>
    <d v="1899-12-30T10:48:00"/>
    <s v="Sunday"/>
    <s v="ROWNTREE MILLS STOP"/>
    <s v="EXBK"/>
    <n v="5"/>
    <n v="15"/>
    <s v="W"/>
    <n v="6517"/>
    <x v="2"/>
  </r>
  <r>
    <n v="9"/>
    <d v="2025-12-07T00:00:00"/>
    <s v="FW"/>
    <d v="1899-12-30T11:05:00"/>
    <s v="Sunday"/>
    <s v="EMERY STOP"/>
    <s v="TXO"/>
    <n v="10"/>
    <n v="20"/>
    <s v="E"/>
    <n v="6509"/>
    <x v="6"/>
  </r>
  <r>
    <n v="10"/>
    <d v="2025-12-07T00:00:00"/>
    <s v="FW"/>
    <d v="1899-12-30T12:36:00"/>
    <s v="Sunday"/>
    <s v="NORFINCH OAKDALE STOP"/>
    <s v="TXDOE"/>
    <n v="10"/>
    <n v="20"/>
    <s v="E"/>
    <n v="6502"/>
    <x v="0"/>
  </r>
  <r>
    <n v="11"/>
    <d v="2025-12-07T00:00:00"/>
    <s v="FW"/>
    <d v="1899-12-30T13:57:00"/>
    <s v="Sunday"/>
    <s v="EMERY STOP"/>
    <s v="TXOS"/>
    <n v="5"/>
    <n v="15"/>
    <s v="W"/>
    <n v="6507"/>
    <x v="7"/>
  </r>
  <r>
    <n v="12"/>
    <d v="2025-12-07T00:00:00"/>
    <s v="FW"/>
    <d v="1899-12-30T14:54:00"/>
    <s v="Sunday"/>
    <s v="EMERY STOP"/>
    <s v="TXOS"/>
    <n v="3"/>
    <n v="13"/>
    <s v="W"/>
    <n v="6501"/>
    <x v="7"/>
  </r>
  <r>
    <n v="13"/>
    <d v="2025-12-07T00:00:00"/>
    <s v="FW"/>
    <d v="1899-12-30T15:30:00"/>
    <s v="Sunday"/>
    <s v="HUMBER COLLEGE STOP"/>
    <s v="MXO"/>
    <n v="0"/>
    <n v="0"/>
    <s v="None"/>
    <n v="0"/>
    <x v="8"/>
  </r>
  <r>
    <n v="14"/>
    <d v="2025-12-07T00:00:00"/>
    <s v="FW"/>
    <d v="1899-12-30T16:16:00"/>
    <s v="Sunday"/>
    <s v="SIGNET ARROW STOP"/>
    <s v="EXO"/>
    <n v="3"/>
    <n v="10"/>
    <s v="W"/>
    <n v="6512"/>
    <x v="5"/>
  </r>
  <r>
    <n v="15"/>
    <d v="2025-12-07T00:00:00"/>
    <s v="FW"/>
    <d v="1899-12-30T16:34:00"/>
    <s v="Sunday"/>
    <s v="SENTINEL STOP"/>
    <s v="TXOS"/>
    <n v="3"/>
    <n v="13"/>
    <s v="W"/>
    <n v="6508"/>
    <x v="7"/>
  </r>
  <r>
    <n v="16"/>
    <d v="2025-12-07T00:00:00"/>
    <s v="FW"/>
    <d v="1899-12-30T18:26:00"/>
    <s v="Sunday"/>
    <s v="PEARLDALE STOP"/>
    <s v="EXO"/>
    <n v="13"/>
    <n v="23"/>
    <s v="W"/>
    <n v="6514"/>
    <x v="5"/>
  </r>
  <r>
    <n v="17"/>
    <d v="2025-12-07T00:00:00"/>
    <s v="FW"/>
    <d v="1899-12-30T18:46:00"/>
    <s v="Sunday"/>
    <s v="FINCH WEST FWLRT STATI"/>
    <s v="MXIS"/>
    <n v="0"/>
    <n v="0"/>
    <s v="None"/>
    <n v="0"/>
    <x v="9"/>
  </r>
  <r>
    <n v="18"/>
    <d v="2025-12-07T00:00:00"/>
    <s v="FW"/>
    <d v="1899-12-30T20:56:00"/>
    <s v="Sunday"/>
    <s v="MARTIN GROVE STOP"/>
    <s v="MXUS"/>
    <n v="12"/>
    <n v="24"/>
    <s v="E"/>
    <n v="6512"/>
    <x v="10"/>
  </r>
  <r>
    <n v="19"/>
    <d v="2025-12-07T00:00:00"/>
    <s v="FW"/>
    <d v="1899-12-30T21:12:00"/>
    <s v="Sunday"/>
    <s v="HUMBER COLLEGE STOP"/>
    <s v="MXTO"/>
    <n v="7"/>
    <n v="19"/>
    <s v="W"/>
    <n v="6506"/>
    <x v="4"/>
  </r>
  <r>
    <n v="20"/>
    <d v="2025-12-07T00:00:00"/>
    <s v="FW"/>
    <d v="1899-12-30T21:59:00"/>
    <s v="Sunday"/>
    <s v="FINCH WEST FWLRT STATI"/>
    <s v="MXUS"/>
    <n v="12"/>
    <n v="24"/>
    <s v="W"/>
    <n v="6512"/>
    <x v="10"/>
  </r>
  <r>
    <n v="21"/>
    <d v="2025-12-07T00:00:00"/>
    <s v="FW"/>
    <d v="1899-12-30T23:05:00"/>
    <s v="Sunday"/>
    <s v="HUMBER COLLEGE STOP"/>
    <s v="EXDO"/>
    <n v="0"/>
    <n v="0"/>
    <s v="E"/>
    <n v="6512"/>
    <x v="11"/>
  </r>
  <r>
    <n v="22"/>
    <d v="2025-12-08T00:00:00"/>
    <s v="FW"/>
    <d v="1899-12-30T05:08:00"/>
    <s v="Monday"/>
    <s v="FINCH WEST STATION"/>
    <s v="PXWZ"/>
    <n v="14"/>
    <n v="0"/>
    <s v="E"/>
    <n v="6512"/>
    <x v="12"/>
  </r>
  <r>
    <n v="23"/>
    <d v="2025-12-08T00:00:00"/>
    <s v="FW"/>
    <d v="1899-12-30T05:28:00"/>
    <s v="Monday"/>
    <s v="HUMBER COLLEGE STOP"/>
    <s v="TXNIP"/>
    <n v="6"/>
    <n v="0"/>
    <s v="E"/>
    <n v="6507"/>
    <x v="13"/>
  </r>
  <r>
    <n v="24"/>
    <d v="2025-12-08T00:00:00"/>
    <s v="FW"/>
    <d v="1899-12-30T06:01:00"/>
    <s v="Monday"/>
    <s v="HUMBER COLLEGE STOP"/>
    <s v="MXO"/>
    <n v="0"/>
    <n v="0"/>
    <s v="None"/>
    <n v="0"/>
    <x v="8"/>
  </r>
  <r>
    <n v="25"/>
    <d v="2025-12-08T00:00:00"/>
    <s v="FW"/>
    <d v="1899-12-30T06:44:00"/>
    <s v="Monday"/>
    <s v="JANE FWLRT STOP"/>
    <s v="MXO"/>
    <n v="3"/>
    <n v="9"/>
    <s v="E"/>
    <n v="6503"/>
    <x v="8"/>
  </r>
  <r>
    <n v="26"/>
    <d v="2025-12-08T00:00:00"/>
    <s v="FW"/>
    <d v="1899-12-30T06:46:00"/>
    <s v="Monday"/>
    <s v="JANE FWLRT STOP"/>
    <s v="TXOVS"/>
    <n v="0"/>
    <n v="0"/>
    <s v="W"/>
    <n v="6507"/>
    <x v="14"/>
  </r>
  <r>
    <n v="27"/>
    <d v="2025-12-08T00:00:00"/>
    <s v="FW"/>
    <d v="1899-12-30T06:55:00"/>
    <s v="Monday"/>
    <s v="MARTIN GROVE STOP"/>
    <s v="TXO"/>
    <n v="4"/>
    <n v="10"/>
    <s v="E"/>
    <n v="6517"/>
    <x v="6"/>
  </r>
  <r>
    <n v="28"/>
    <d v="2025-12-08T00:00:00"/>
    <s v="FW"/>
    <d v="1899-12-30T08:10:00"/>
    <s v="Monday"/>
    <s v="HUMBER COLLEGE STOP"/>
    <s v="TXNIP"/>
    <n v="6"/>
    <n v="12"/>
    <s v="E"/>
    <n v="6511"/>
    <x v="13"/>
  </r>
  <r>
    <n v="29"/>
    <d v="2025-12-08T00:00:00"/>
    <s v="FW"/>
    <d v="1899-12-30T09:41:00"/>
    <s v="Monday"/>
    <s v="HUMBER COLLEGE STOP"/>
    <s v="MXTO"/>
    <n v="5"/>
    <n v="0"/>
    <s v="E"/>
    <n v="6508"/>
    <x v="4"/>
  </r>
  <r>
    <n v="30"/>
    <d v="2025-12-08T00:00:00"/>
    <s v="FW"/>
    <d v="1899-12-30T12:56:00"/>
    <s v="Monday"/>
    <s v="ROWNTREE MILLS STOP"/>
    <s v="TXOS"/>
    <n v="4"/>
    <n v="14"/>
    <s v="E"/>
    <n v="6509"/>
    <x v="7"/>
  </r>
  <r>
    <n v="31"/>
    <d v="2025-12-08T00:00:00"/>
    <s v="FW"/>
    <d v="1899-12-30T13:11:00"/>
    <s v="Monday"/>
    <s v="HUMBER COLLEGE STOP"/>
    <s v="EXDO"/>
    <n v="10"/>
    <n v="10"/>
    <s v="W"/>
    <n v="6517"/>
    <x v="11"/>
  </r>
  <r>
    <n v="32"/>
    <d v="2025-12-08T00:00:00"/>
    <s v="FW"/>
    <d v="1899-12-30T13:20:00"/>
    <s v="Monday"/>
    <s v="HUMBER COLLEGE STOP"/>
    <s v="MXTO"/>
    <n v="4"/>
    <n v="10"/>
    <s v="W"/>
    <n v="6501"/>
    <x v="4"/>
  </r>
  <r>
    <n v="33"/>
    <d v="2025-12-08T00:00:00"/>
    <s v="FW"/>
    <d v="1899-12-30T15:01:00"/>
    <s v="Monday"/>
    <s v="JANE FWLRT STOP"/>
    <s v="TXO"/>
    <n v="4"/>
    <n v="14"/>
    <s v="E"/>
    <n v="6503"/>
    <x v="6"/>
  </r>
  <r>
    <n v="34"/>
    <d v="2025-12-08T00:00:00"/>
    <s v="FW"/>
    <d v="1899-12-30T15:42:00"/>
    <s v="Monday"/>
    <s v="SENTINEL STOP"/>
    <s v="EXAC"/>
    <n v="6"/>
    <n v="12"/>
    <s v="E"/>
    <n v="6517"/>
    <x v="15"/>
  </r>
  <r>
    <n v="35"/>
    <d v="2025-12-08T00:00:00"/>
    <s v="FW"/>
    <d v="1899-12-30T16:41:00"/>
    <s v="Monday"/>
    <s v="FINCH WEST FWLRT STATI"/>
    <s v="EXAC"/>
    <n v="6"/>
    <n v="12"/>
    <s v="None"/>
    <n v="6512"/>
    <x v="15"/>
  </r>
  <r>
    <n v="36"/>
    <d v="2025-12-08T00:00:00"/>
    <s v="FW"/>
    <d v="1899-12-30T17:30:00"/>
    <s v="Monday"/>
    <s v="ALBION STOP"/>
    <s v="PXSTP"/>
    <n v="3"/>
    <n v="9"/>
    <s v="N"/>
    <n v="6511"/>
    <x v="16"/>
  </r>
  <r>
    <n v="37"/>
    <d v="2025-12-08T00:00:00"/>
    <s v="FW"/>
    <d v="1899-12-30T21:19:00"/>
    <s v="Monday"/>
    <s v="DRIFTWOOD STOP"/>
    <s v="EXBK"/>
    <n v="9"/>
    <n v="23"/>
    <s v="E"/>
    <n v="6503"/>
    <x v="2"/>
  </r>
  <r>
    <n v="38"/>
    <d v="2025-12-08T00:00:00"/>
    <s v="FW"/>
    <d v="1899-12-30T22:33:00"/>
    <s v="Monday"/>
    <s v="ENTERING MSF"/>
    <s v="EXO"/>
    <n v="0"/>
    <n v="0"/>
    <s v="W"/>
    <n v="6507"/>
    <x v="5"/>
  </r>
  <r>
    <n v="39"/>
    <d v="2025-12-09T00:00:00"/>
    <s v="FW"/>
    <d v="1899-12-30T05:06:00"/>
    <s v="Tuesday"/>
    <s v="NORFINCH OAKDALE STOP"/>
    <s v="EXO"/>
    <n v="0"/>
    <n v="0"/>
    <s v="W"/>
    <n v="6501"/>
    <x v="5"/>
  </r>
  <r>
    <n v="40"/>
    <d v="2025-12-09T00:00:00"/>
    <s v="FW"/>
    <d v="1899-12-30T07:16:00"/>
    <s v="Tuesday"/>
    <s v="NORFINCH OAKDALE STOP"/>
    <s v="EXO"/>
    <n v="0"/>
    <n v="0"/>
    <s v="W"/>
    <n v="6507"/>
    <x v="5"/>
  </r>
  <r>
    <n v="41"/>
    <d v="2025-12-09T00:00:00"/>
    <s v="FW"/>
    <d v="1899-12-30T07:42:00"/>
    <s v="Tuesday"/>
    <s v="SIGNET ARROW STOP"/>
    <s v="EXO"/>
    <n v="0"/>
    <n v="0"/>
    <s v="W"/>
    <n v="6514"/>
    <x v="5"/>
  </r>
  <r>
    <n v="42"/>
    <d v="2025-12-09T00:00:00"/>
    <s v="FW"/>
    <d v="1899-12-30T08:33:00"/>
    <s v="Tuesday"/>
    <s v="WESTMORE STOP"/>
    <s v="EXO"/>
    <n v="0"/>
    <n v="0"/>
    <s v="W"/>
    <n v="6508"/>
    <x v="5"/>
  </r>
  <r>
    <n v="43"/>
    <d v="2025-12-09T00:00:00"/>
    <s v="FW"/>
    <d v="1899-12-30T08:56:00"/>
    <s v="Tuesday"/>
    <s v="MILVAN RUMIKE STOP"/>
    <s v="EXO"/>
    <n v="0"/>
    <n v="0"/>
    <s v="E"/>
    <n v="6514"/>
    <x v="5"/>
  </r>
  <r>
    <n v="44"/>
    <d v="2025-12-09T00:00:00"/>
    <s v="FW"/>
    <d v="1899-12-30T09:01:00"/>
    <s v="Tuesday"/>
    <s v="SIGNET ARROW STOP"/>
    <s v="EXO"/>
    <n v="0"/>
    <n v="0"/>
    <s v="W"/>
    <n v="6503"/>
    <x v="5"/>
  </r>
  <r>
    <n v="45"/>
    <d v="2025-12-09T00:00:00"/>
    <s v="FW"/>
    <d v="1899-12-30T09:12:00"/>
    <s v="Tuesday"/>
    <s v="HUMBER COLLEGE STOP"/>
    <s v="EXDO"/>
    <n v="6"/>
    <n v="12"/>
    <s v="E"/>
    <n v="6516"/>
    <x v="11"/>
  </r>
  <r>
    <n v="46"/>
    <d v="2025-12-09T00:00:00"/>
    <s v="FW"/>
    <d v="1899-12-30T13:05:00"/>
    <s v="Tuesday"/>
    <s v="JANE FWLRT STOP"/>
    <s v="TXO"/>
    <n v="3"/>
    <n v="9"/>
    <s v="W"/>
    <n v="6503"/>
    <x v="6"/>
  </r>
  <r>
    <n v="47"/>
    <d v="2025-12-09T00:00:00"/>
    <s v="FW"/>
    <d v="1899-12-30T13:34:00"/>
    <s v="Tuesday"/>
    <s v="TOBERMORY STOP"/>
    <s v="TXOVS"/>
    <n v="0"/>
    <n v="0"/>
    <s v="W"/>
    <n v="6509"/>
    <x v="14"/>
  </r>
  <r>
    <n v="48"/>
    <d v="2025-12-09T00:00:00"/>
    <s v="FW"/>
    <d v="1899-12-30T15:16:00"/>
    <s v="Tuesday"/>
    <s v="HUMBER COLLEGE STOP"/>
    <s v="PXSW"/>
    <n v="92"/>
    <n v="98"/>
    <s v="None"/>
    <n v="0"/>
    <x v="17"/>
  </r>
  <r>
    <n v="49"/>
    <d v="2025-12-09T00:00:00"/>
    <s v="FW"/>
    <d v="1899-12-30T15:30:00"/>
    <s v="Tuesday"/>
    <s v="MARTIN GROVE STOP"/>
    <s v="PXSW"/>
    <n v="45"/>
    <n v="51"/>
    <s v="W"/>
    <n v="6515"/>
    <x v="17"/>
  </r>
  <r>
    <n v="50"/>
    <d v="2025-12-09T00:00:00"/>
    <s v="FW"/>
    <d v="1899-12-30T20:04:00"/>
    <s v="Tuesday"/>
    <s v="FINCH WEST FWLRT STATI"/>
    <s v="SXO"/>
    <n v="0"/>
    <n v="0"/>
    <s v="None"/>
    <n v="0"/>
    <x v="18"/>
  </r>
  <r>
    <n v="51"/>
    <d v="2025-12-09T00:00:00"/>
    <s v="FW"/>
    <d v="1899-12-30T21:48:00"/>
    <s v="Tuesday"/>
    <s v="DRIFTWOOD STOP"/>
    <s v="TXO"/>
    <n v="10"/>
    <n v="20"/>
    <s v="W"/>
    <n v="6515"/>
    <x v="6"/>
  </r>
  <r>
    <n v="52"/>
    <d v="2025-12-09T00:00:00"/>
    <s v="FW"/>
    <d v="1899-12-30T22:23:00"/>
    <s v="Tuesday"/>
    <s v="ISLINGTON"/>
    <s v="EXO"/>
    <n v="32"/>
    <n v="42"/>
    <s v="E"/>
    <n v="6513"/>
    <x v="5"/>
  </r>
  <r>
    <n v="53"/>
    <d v="2025-12-09T00:00:00"/>
    <s v="FW"/>
    <d v="1899-12-30T23:00:00"/>
    <s v="Tuesday"/>
    <s v="HUMBER COLLEGE STOP TO"/>
    <s v="MXST"/>
    <n v="0"/>
    <n v="0"/>
    <s v="None"/>
    <n v="6516"/>
    <x v="19"/>
  </r>
  <r>
    <n v="54"/>
    <d v="2025-12-09T00:00:00"/>
    <s v="FW"/>
    <d v="1899-12-30T23:32:00"/>
    <s v="Tuesday"/>
    <s v="FINCH WEST FWLRT STATI"/>
    <s v="EXO"/>
    <n v="0"/>
    <n v="0"/>
    <s v="W"/>
    <n v="6513"/>
    <x v="5"/>
  </r>
  <r>
    <n v="55"/>
    <d v="2025-12-10T00:00:00"/>
    <s v="FW"/>
    <d v="1899-12-30T04:56:00"/>
    <s v="Wednesday"/>
    <s v="NORFINCH OAKDALE STOP"/>
    <s v="EXO"/>
    <n v="0"/>
    <n v="0"/>
    <s v="W"/>
    <n v="6517"/>
    <x v="5"/>
  </r>
  <r>
    <n v="56"/>
    <d v="2025-12-10T00:00:00"/>
    <s v="FW"/>
    <d v="1899-12-30T05:13:00"/>
    <s v="Wednesday"/>
    <s v="NORFINCH OAKDALE STOP"/>
    <s v="EXO"/>
    <n v="0"/>
    <n v="0"/>
    <s v="W"/>
    <n v="6503"/>
    <x v="5"/>
  </r>
  <r>
    <n v="57"/>
    <d v="2025-12-10T00:00:00"/>
    <s v="FW"/>
    <d v="1899-12-30T06:53:00"/>
    <s v="Wednesday"/>
    <s v="JANE FWLRT STOP"/>
    <s v="EXO"/>
    <n v="0"/>
    <n v="0"/>
    <s v="E"/>
    <n v="6502"/>
    <x v="5"/>
  </r>
  <r>
    <n v="58"/>
    <d v="2025-12-10T00:00:00"/>
    <s v="FW"/>
    <d v="1899-12-30T07:25:00"/>
    <s v="Wednesday"/>
    <s v="JANE FWLRT STOP"/>
    <s v="EXO"/>
    <n v="6"/>
    <n v="12"/>
    <s v="E"/>
    <n v="6513"/>
    <x v="5"/>
  </r>
  <r>
    <n v="59"/>
    <d v="2025-12-10T00:00:00"/>
    <s v="FW"/>
    <d v="1899-12-30T08:40:00"/>
    <s v="Wednesday"/>
    <s v="JANE FWLRT STOP"/>
    <s v="MXUS"/>
    <n v="15"/>
    <n v="21"/>
    <s v="E"/>
    <n v="6507"/>
    <x v="10"/>
  </r>
  <r>
    <n v="60"/>
    <d v="2025-12-10T00:00:00"/>
    <s v="FW"/>
    <d v="1899-12-30T09:03:00"/>
    <s v="Wednesday"/>
    <s v="TOBERMORY STOP"/>
    <s v="PXTIS"/>
    <n v="15"/>
    <n v="21"/>
    <s v="None"/>
    <n v="0"/>
    <x v="20"/>
  </r>
  <r>
    <n v="61"/>
    <d v="2025-12-10T00:00:00"/>
    <s v="FW"/>
    <d v="1899-12-30T11:39:00"/>
    <s v="Wednesday"/>
    <s v="FINCH WEST FWLRT STATI"/>
    <s v="MXIS"/>
    <n v="0"/>
    <n v="0"/>
    <s v="W"/>
    <n v="0"/>
    <x v="9"/>
  </r>
  <r>
    <n v="62"/>
    <d v="2025-12-10T00:00:00"/>
    <s v="FW"/>
    <d v="1899-12-30T12:28:00"/>
    <s v="Wednesday"/>
    <s v="HUMBER COLLEGE STOP (L"/>
    <s v="TXOVS"/>
    <n v="0"/>
    <n v="0"/>
    <s v="E"/>
    <n v="6504"/>
    <x v="14"/>
  </r>
  <r>
    <n v="63"/>
    <d v="2025-12-10T00:00:00"/>
    <s v="FW"/>
    <d v="1899-12-30T13:05:00"/>
    <s v="Wednesday"/>
    <s v="DUNCANWOODS STOP"/>
    <s v="PXSW"/>
    <n v="5"/>
    <n v="15"/>
    <s v="E"/>
    <n v="6517"/>
    <x v="17"/>
  </r>
  <r>
    <n v="64"/>
    <d v="2025-12-10T00:00:00"/>
    <s v="FW"/>
    <d v="1899-12-30T13:41:00"/>
    <s v="Wednesday"/>
    <s v="FINCH WEST FWLRT STATI"/>
    <s v="MXIS"/>
    <n v="0"/>
    <n v="0"/>
    <s v="None"/>
    <n v="6154"/>
    <x v="9"/>
  </r>
  <r>
    <n v="65"/>
    <d v="2025-12-10T00:00:00"/>
    <s v="FW"/>
    <d v="1899-12-30T18:12:00"/>
    <s v="Wednesday"/>
    <s v="HUMBER COLLEGE STATION"/>
    <s v="TXO"/>
    <n v="10"/>
    <n v="20"/>
    <s v="E"/>
    <n v="6506"/>
    <x v="6"/>
  </r>
  <r>
    <n v="66"/>
    <d v="2025-12-10T00:00:00"/>
    <s v="FW"/>
    <d v="1899-12-30T18:16:00"/>
    <s v="Wednesday"/>
    <s v="STEVENSON STOP"/>
    <s v="MXAFR"/>
    <n v="6"/>
    <n v="12"/>
    <s v="E"/>
    <n v="6503"/>
    <x v="21"/>
  </r>
  <r>
    <n v="67"/>
    <d v="2025-12-10T00:00:00"/>
    <s v="FW"/>
    <d v="1899-12-30T19:47:00"/>
    <s v="Wednesday"/>
    <s v="YORKGATE"/>
    <s v="PXSW"/>
    <n v="0"/>
    <n v="0"/>
    <s v="None"/>
    <n v="0"/>
    <x v="17"/>
  </r>
  <r>
    <n v="68"/>
    <d v="2025-12-10T00:00:00"/>
    <s v="FW"/>
    <d v="1899-12-30T20:52:00"/>
    <s v="Wednesday"/>
    <s v="EMERY STOP"/>
    <s v="EXHV"/>
    <n v="0"/>
    <n v="0"/>
    <s v="E"/>
    <n v="6515"/>
    <x v="22"/>
  </r>
  <r>
    <n v="69"/>
    <d v="2025-12-10T00:00:00"/>
    <s v="FW"/>
    <d v="1899-12-30T21:18:00"/>
    <s v="Wednesday"/>
    <s v="HUMBER COLLEGE STOP"/>
    <s v="PXSIS"/>
    <n v="100"/>
    <n v="110"/>
    <s v="None"/>
    <n v="0"/>
    <x v="23"/>
  </r>
  <r>
    <n v="70"/>
    <d v="2025-12-10T00:00:00"/>
    <s v="FW"/>
    <d v="1899-12-30T21:30:00"/>
    <s v="Wednesday"/>
    <s v="ALBION STOP"/>
    <s v="PXSIS"/>
    <n v="100"/>
    <n v="110"/>
    <s v="None"/>
    <n v="0"/>
    <x v="23"/>
  </r>
  <r>
    <n v="71"/>
    <d v="2025-12-11T00:00:00"/>
    <s v="FW"/>
    <d v="1899-12-30T05:19:00"/>
    <s v="Thursday"/>
    <s v="YORKGATE"/>
    <s v="PXSW"/>
    <n v="46"/>
    <n v="51"/>
    <s v="W"/>
    <n v="6505"/>
    <x v="17"/>
  </r>
  <r>
    <n v="72"/>
    <d v="2025-12-11T00:00:00"/>
    <s v="FW"/>
    <d v="1899-12-30T06:21:00"/>
    <s v="Thursday"/>
    <s v="HUMBER COLLEGE STOP"/>
    <s v="PXSW"/>
    <n v="93"/>
    <n v="105"/>
    <s v="None"/>
    <n v="0"/>
    <x v="17"/>
  </r>
  <r>
    <n v="73"/>
    <d v="2025-12-11T00:00:00"/>
    <s v="FW"/>
    <d v="1899-12-30T07:47:00"/>
    <s v="Thursday"/>
    <s v="JANE AND FINCH"/>
    <s v="EXNEA"/>
    <n v="6"/>
    <n v="12"/>
    <s v="E"/>
    <n v="0"/>
    <x v="24"/>
  </r>
  <r>
    <n v="74"/>
    <d v="2025-12-11T00:00:00"/>
    <s v="FW"/>
    <d v="1899-12-30T07:48:00"/>
    <s v="Thursday"/>
    <s v="SENTINEL STOP"/>
    <s v="EXO"/>
    <n v="0"/>
    <n v="0"/>
    <s v="E"/>
    <n v="6501"/>
    <x v="5"/>
  </r>
  <r>
    <n v="75"/>
    <d v="2025-12-11T00:00:00"/>
    <s v="FW"/>
    <d v="1899-12-30T09:21:00"/>
    <s v="Thursday"/>
    <s v="DRIFTWOOD STOP"/>
    <s v="EXO"/>
    <n v="0"/>
    <n v="0"/>
    <s v="E"/>
    <n v="6506"/>
    <x v="5"/>
  </r>
  <r>
    <n v="76"/>
    <d v="2025-12-11T00:00:00"/>
    <s v="FW"/>
    <d v="1899-12-30T10:38:00"/>
    <s v="Thursday"/>
    <s v="HUMBER COLLEGE STOP"/>
    <s v="MXIE"/>
    <n v="0"/>
    <n v="0"/>
    <s v="E"/>
    <n v="6515"/>
    <x v="25"/>
  </r>
  <r>
    <n v="77"/>
    <d v="2025-12-11T00:00:00"/>
    <s v="FW"/>
    <d v="1899-12-30T11:30:00"/>
    <s v="Thursday"/>
    <s v="HUMBER COLLEGE STOP"/>
    <s v="EXCE"/>
    <n v="6"/>
    <n v="12"/>
    <s v="E"/>
    <n v="6508"/>
    <x v="26"/>
  </r>
  <r>
    <n v="78"/>
    <d v="2025-12-11T00:00:00"/>
    <s v="FW"/>
    <d v="1899-12-30T15:07:00"/>
    <s v="Thursday"/>
    <s v="PEARLDALE STOP"/>
    <s v="MXUS"/>
    <n v="10"/>
    <n v="16"/>
    <s v="W"/>
    <n v="6501"/>
    <x v="10"/>
  </r>
  <r>
    <n v="79"/>
    <d v="2025-12-11T00:00:00"/>
    <s v="FW"/>
    <d v="1899-12-30T15:22:00"/>
    <s v="Thursday"/>
    <s v="FINCH WEST FWLRT STATI"/>
    <s v="EXCE"/>
    <n v="6"/>
    <n v="12"/>
    <s v="None"/>
    <n v="6517"/>
    <x v="26"/>
  </r>
  <r>
    <n v="80"/>
    <d v="2025-12-11T00:00:00"/>
    <s v="FW"/>
    <d v="1899-12-30T15:41:00"/>
    <s v="Thursday"/>
    <s v="JANE FWLRT STOP"/>
    <s v="EXNEA"/>
    <n v="6"/>
    <n v="12"/>
    <s v="E"/>
    <n v="0"/>
    <x v="24"/>
  </r>
  <r>
    <n v="81"/>
    <d v="2025-12-11T00:00:00"/>
    <s v="FW"/>
    <d v="1899-12-30T18:21:00"/>
    <s v="Thursday"/>
    <s v="DUNCANWOODS STOP"/>
    <s v="MXUS"/>
    <n v="15"/>
    <n v="21"/>
    <s v="E"/>
    <n v="6508"/>
    <x v="10"/>
  </r>
  <r>
    <n v="82"/>
    <d v="2025-12-11T00:00:00"/>
    <s v="FW"/>
    <d v="1899-12-30T20:32:00"/>
    <s v="Thursday"/>
    <s v="DUNCANWOODS STOP"/>
    <s v="MXUS"/>
    <n v="15"/>
    <n v="25"/>
    <s v="E"/>
    <n v="6506"/>
    <x v="10"/>
  </r>
  <r>
    <n v="83"/>
    <d v="2025-12-11T00:00:00"/>
    <s v="FW"/>
    <d v="1899-12-30T21:27:00"/>
    <s v="Thursday"/>
    <s v="JANE FWLRT STOP"/>
    <s v="EXO"/>
    <n v="0"/>
    <n v="0"/>
    <s v="W"/>
    <n v="6514"/>
    <x v="5"/>
  </r>
  <r>
    <n v="84"/>
    <d v="2025-12-11T00:00:00"/>
    <s v="FW"/>
    <d v="1899-12-30T22:25:00"/>
    <s v="Thursday"/>
    <s v="HUMBER COLLEGE STOP"/>
    <s v="EXGA"/>
    <n v="0"/>
    <n v="0"/>
    <s v="E"/>
    <n v="6513"/>
    <x v="27"/>
  </r>
  <r>
    <n v="85"/>
    <d v="2025-12-12T00:00:00"/>
    <s v="FW"/>
    <d v="1899-12-30T05:10:00"/>
    <s v="Friday"/>
    <s v="JANE FWLRT STOP"/>
    <s v="EXBK"/>
    <n v="0"/>
    <n v="0"/>
    <s v="E"/>
    <n v="6506"/>
    <x v="2"/>
  </r>
  <r>
    <n v="86"/>
    <d v="2025-12-12T00:00:00"/>
    <s v="FW"/>
    <d v="1899-12-30T05:17:00"/>
    <s v="Friday"/>
    <s v="SENTINEL STOP"/>
    <s v="TXCC"/>
    <n v="4"/>
    <n v="14"/>
    <s v="W"/>
    <n v="6515"/>
    <x v="28"/>
  </r>
  <r>
    <n v="87"/>
    <d v="2025-12-12T00:00:00"/>
    <s v="FW"/>
    <d v="1899-12-30T05:52:00"/>
    <s v="Friday"/>
    <s v="STEVENSON STOP"/>
    <s v="EXBK"/>
    <n v="4"/>
    <n v="16"/>
    <s v="W"/>
    <n v="73"/>
    <x v="2"/>
  </r>
  <r>
    <n v="88"/>
    <d v="2025-12-12T00:00:00"/>
    <s v="FW"/>
    <d v="1899-12-30T05:56:00"/>
    <s v="Friday"/>
    <s v="HUMBER COLLEGE STOP"/>
    <s v="EXCE"/>
    <n v="10"/>
    <n v="20"/>
    <s v="E"/>
    <n v="6508"/>
    <x v="26"/>
  </r>
  <r>
    <n v="89"/>
    <d v="2025-12-12T00:00:00"/>
    <s v="FW"/>
    <d v="1899-12-30T07:25:00"/>
    <s v="Friday"/>
    <s v="JANE AND FINCH STOP"/>
    <s v="EXNEA"/>
    <n v="0"/>
    <n v="0"/>
    <s v="E"/>
    <n v="6502"/>
    <x v="24"/>
  </r>
  <r>
    <n v="90"/>
    <d v="2025-12-12T00:00:00"/>
    <s v="FW"/>
    <d v="1899-12-30T07:47:00"/>
    <s v="Friday"/>
    <s v="JANE AND FINCH"/>
    <s v="EXNEA"/>
    <n v="0"/>
    <n v="0"/>
    <s v="E"/>
    <n v="0"/>
    <x v="24"/>
  </r>
  <r>
    <n v="91"/>
    <d v="2025-12-12T00:00:00"/>
    <s v="FW"/>
    <d v="1899-12-30T08:00:00"/>
    <s v="Friday"/>
    <s v="FINCH WEST FWLRT STATI"/>
    <s v="EXBO"/>
    <n v="10"/>
    <n v="20"/>
    <s v="W"/>
    <n v="6512"/>
    <x v="3"/>
  </r>
  <r>
    <n v="92"/>
    <d v="2025-12-12T00:00:00"/>
    <s v="FW"/>
    <d v="1899-12-30T08:08:00"/>
    <s v="Friday"/>
    <s v="MARTIN GROVE STOP"/>
    <s v="EXBK"/>
    <n v="3"/>
    <n v="10"/>
    <s v="E"/>
    <n v="6501"/>
    <x v="2"/>
  </r>
  <r>
    <n v="93"/>
    <d v="2025-12-12T00:00:00"/>
    <s v="FW"/>
    <d v="1899-12-30T08:11:00"/>
    <s v="Friday"/>
    <s v="FINCH WEST FWLRT STATI"/>
    <s v="EXBK"/>
    <n v="0"/>
    <n v="0"/>
    <s v="W"/>
    <n v="6511"/>
    <x v="2"/>
  </r>
  <r>
    <n v="94"/>
    <d v="2025-12-12T00:00:00"/>
    <s v="FW"/>
    <d v="1899-12-30T08:40:00"/>
    <s v="Friday"/>
    <s v="SIGNET ARROW STOP"/>
    <s v="EXDO"/>
    <n v="3"/>
    <n v="10"/>
    <s v="E"/>
    <n v="6507"/>
    <x v="11"/>
  </r>
  <r>
    <n v="95"/>
    <d v="2025-12-12T00:00:00"/>
    <s v="FW"/>
    <d v="1899-12-30T08:45:00"/>
    <s v="Friday"/>
    <s v="JANE FWLRT STOP"/>
    <s v="EXO"/>
    <n v="7"/>
    <n v="14"/>
    <s v="W"/>
    <n v="6513"/>
    <x v="5"/>
  </r>
  <r>
    <n v="96"/>
    <d v="2025-12-12T00:00:00"/>
    <s v="FW"/>
    <d v="1899-12-30T08:48:00"/>
    <s v="Friday"/>
    <s v="YORKGATE BLVD"/>
    <s v="PXTIS"/>
    <n v="4"/>
    <n v="14"/>
    <s v="W"/>
    <n v="6515"/>
    <x v="20"/>
  </r>
  <r>
    <n v="97"/>
    <d v="2025-12-12T00:00:00"/>
    <s v="FW"/>
    <d v="1899-12-30T09:08:00"/>
    <s v="Friday"/>
    <s v="FINCH WEST FWLRT STATI"/>
    <s v="EXO"/>
    <n v="7"/>
    <n v="14"/>
    <s v="W"/>
    <n v="6507"/>
    <x v="5"/>
  </r>
  <r>
    <n v="98"/>
    <d v="2025-12-12T00:00:00"/>
    <s v="FW"/>
    <d v="1899-12-30T11:05:00"/>
    <s v="Friday"/>
    <s v="HUMBER COLLEGE STOP"/>
    <s v="EXBO"/>
    <n v="10"/>
    <n v="20"/>
    <s v="E"/>
    <n v="6512"/>
    <x v="3"/>
  </r>
  <r>
    <n v="99"/>
    <d v="2025-12-12T00:00:00"/>
    <s v="FW"/>
    <d v="1899-12-30T11:42:00"/>
    <s v="Friday"/>
    <s v="HUMBER COLLEGE STOP"/>
    <s v="TXO"/>
    <n v="10"/>
    <n v="20"/>
    <s v="E"/>
    <n v="6512"/>
    <x v="6"/>
  </r>
  <r>
    <n v="100"/>
    <d v="2025-12-12T00:00:00"/>
    <s v="FW"/>
    <d v="1899-12-30T13:07:00"/>
    <s v="Friday"/>
    <s v="FINCH WEST FWLRT STATI"/>
    <s v="EXO"/>
    <n v="10"/>
    <n v="20"/>
    <s v="W"/>
    <n v="6515"/>
    <x v="5"/>
  </r>
  <r>
    <n v="101"/>
    <d v="2025-12-12T00:00:00"/>
    <s v="FW"/>
    <d v="1899-12-30T14:34:00"/>
    <s v="Friday"/>
    <s v="HUMBER COLLEGE STOP"/>
    <s v="EXAC"/>
    <n v="7"/>
    <n v="14"/>
    <s v="E"/>
    <n v="6512"/>
    <x v="15"/>
  </r>
  <r>
    <n v="102"/>
    <d v="2025-12-12T00:00:00"/>
    <s v="FW"/>
    <d v="1899-12-30T15:49:00"/>
    <s v="Friday"/>
    <s v="JANE FWLRT STOP"/>
    <s v="EXO"/>
    <n v="7"/>
    <n v="14"/>
    <s v="E"/>
    <n v="0"/>
    <x v="5"/>
  </r>
  <r>
    <n v="103"/>
    <d v="2025-12-12T00:00:00"/>
    <s v="FW"/>
    <d v="1899-12-30T17:26:00"/>
    <s v="Friday"/>
    <s v="MILVAN RUMIKE STOP"/>
    <s v="MXUS"/>
    <n v="12"/>
    <n v="19"/>
    <s v="E"/>
    <n v="6508"/>
    <x v="10"/>
  </r>
  <r>
    <n v="104"/>
    <d v="2025-12-12T00:00:00"/>
    <s v="FW"/>
    <d v="1899-12-30T17:55:00"/>
    <s v="Friday"/>
    <s v="EMERY STOP"/>
    <s v="TXO"/>
    <n v="4"/>
    <n v="11"/>
    <s v="W"/>
    <n v="6511"/>
    <x v="6"/>
  </r>
  <r>
    <n v="105"/>
    <d v="2025-12-12T00:00:00"/>
    <s v="FW"/>
    <d v="1899-12-30T18:00:00"/>
    <s v="Friday"/>
    <s v="HUMBER COLLEGE STOP"/>
    <s v="EXATC"/>
    <n v="10"/>
    <n v="17"/>
    <s v="E"/>
    <n v="6506"/>
    <x v="29"/>
  </r>
  <r>
    <n v="106"/>
    <d v="2025-12-12T00:00:00"/>
    <s v="FW"/>
    <d v="1899-12-30T18:01:00"/>
    <s v="Friday"/>
    <s v="FINCH WEST FWLRT STATI"/>
    <s v="EXATC"/>
    <n v="7"/>
    <n v="14"/>
    <s v="W"/>
    <n v="6509"/>
    <x v="29"/>
  </r>
  <r>
    <n v="107"/>
    <d v="2025-12-12T00:00:00"/>
    <s v="FW"/>
    <d v="1899-12-30T21:04:00"/>
    <s v="Friday"/>
    <s v="FINCH WEST FWLRT STATI"/>
    <s v="EXSA"/>
    <n v="7"/>
    <n v="12"/>
    <s v="W"/>
    <n v="6504"/>
    <x v="30"/>
  </r>
  <r>
    <n v="108"/>
    <d v="2025-12-12T00:00:00"/>
    <s v="FW"/>
    <d v="1899-12-30T21:20:00"/>
    <s v="Friday"/>
    <s v="FINCH WEST FWLRT STATI"/>
    <s v="EXSA"/>
    <n v="7"/>
    <n v="12"/>
    <s v="None"/>
    <n v="6504"/>
    <x v="30"/>
  </r>
  <r>
    <n v="109"/>
    <d v="2025-12-13T00:00:00"/>
    <s v="FW"/>
    <d v="1899-12-30T05:41:00"/>
    <s v="Saturday"/>
    <s v="NORFINCH OAKDALE STOP"/>
    <s v="EXO"/>
    <n v="0"/>
    <n v="0"/>
    <s v="E"/>
    <n v="6511"/>
    <x v="5"/>
  </r>
  <r>
    <n v="110"/>
    <d v="2025-12-13T00:00:00"/>
    <s v="FW"/>
    <d v="1899-12-30T08:33:00"/>
    <s v="Saturday"/>
    <s v="FINCH WEST FWLRT STATI"/>
    <s v="EXECD"/>
    <n v="37"/>
    <n v="0"/>
    <s v="E"/>
    <n v="6506"/>
    <x v="31"/>
  </r>
  <r>
    <n v="111"/>
    <d v="2025-12-13T00:00:00"/>
    <s v="FW"/>
    <d v="1899-12-30T11:35:00"/>
    <s v="Saturday"/>
    <s v="TOBERMORY STOP"/>
    <s v="EXBK"/>
    <n v="32"/>
    <n v="39"/>
    <s v="W"/>
    <n v="6509"/>
    <x v="2"/>
  </r>
  <r>
    <n v="112"/>
    <d v="2025-12-13T00:00:00"/>
    <s v="FW"/>
    <d v="1899-12-30T12:31:00"/>
    <s v="Saturday"/>
    <s v="NORFINCH OAKDALE STOP"/>
    <s v="EXBK"/>
    <n v="0"/>
    <n v="0"/>
    <s v="W"/>
    <n v="6511"/>
    <x v="2"/>
  </r>
  <r>
    <n v="113"/>
    <d v="2025-12-13T00:00:00"/>
    <s v="FW"/>
    <d v="1899-12-30T12:52:00"/>
    <s v="Saturday"/>
    <s v="HUMBER COLLEGE STOP"/>
    <s v="MXTO"/>
    <n v="17"/>
    <n v="27"/>
    <s v="E"/>
    <n v="6509"/>
    <x v="4"/>
  </r>
  <r>
    <n v="114"/>
    <d v="2025-12-13T00:00:00"/>
    <s v="FW"/>
    <d v="1899-12-30T13:10:00"/>
    <s v="Saturday"/>
    <s v="FINCH WEST FWLRT STATI"/>
    <s v="EXGA"/>
    <n v="30"/>
    <n v="39"/>
    <s v="None"/>
    <n v="6503"/>
    <x v="27"/>
  </r>
  <r>
    <n v="115"/>
    <d v="2025-12-13T00:00:00"/>
    <s v="FW"/>
    <d v="1899-12-30T13:14:00"/>
    <s v="Saturday"/>
    <s v="FINCH WEST FWLRT STATI"/>
    <s v="EXTR"/>
    <n v="0"/>
    <n v="0"/>
    <s v="W"/>
    <n v="6503"/>
    <x v="32"/>
  </r>
  <r>
    <n v="116"/>
    <d v="2025-12-13T00:00:00"/>
    <s v="FW"/>
    <d v="1899-12-30T14:14:00"/>
    <s v="Saturday"/>
    <s v="NORFINCH OAKDALE STOP"/>
    <s v="EXTR"/>
    <n v="0"/>
    <n v="0"/>
    <s v="W"/>
    <n v="6515"/>
    <x v="32"/>
  </r>
  <r>
    <n v="117"/>
    <d v="2025-12-13T00:00:00"/>
    <s v="FW"/>
    <d v="1899-12-30T15:42:00"/>
    <s v="Saturday"/>
    <s v="ROWNTREE MILLS STOP"/>
    <s v="EXO"/>
    <n v="7"/>
    <n v="17"/>
    <s v="E"/>
    <n v="6506"/>
    <x v="5"/>
  </r>
  <r>
    <n v="118"/>
    <d v="2025-12-13T00:00:00"/>
    <s v="FW"/>
    <d v="1899-12-30T16:07:00"/>
    <s v="Saturday"/>
    <s v="ALBION STOP"/>
    <s v="EXTM"/>
    <n v="5"/>
    <n v="15"/>
    <s v="E"/>
    <n v="6514"/>
    <x v="1"/>
  </r>
  <r>
    <n v="119"/>
    <d v="2025-12-13T00:00:00"/>
    <s v="FW"/>
    <d v="1899-12-30T16:37:00"/>
    <s v="Saturday"/>
    <s v="HUMBER COLLEGE STOP"/>
    <s v="EXDO"/>
    <n v="0"/>
    <n v="0"/>
    <s v="E"/>
    <n v="6505"/>
    <x v="11"/>
  </r>
  <r>
    <n v="120"/>
    <d v="2025-12-13T00:00:00"/>
    <s v="FW"/>
    <d v="1899-12-30T16:43:00"/>
    <s v="Saturday"/>
    <s v="SIGNET ARROW STOP"/>
    <s v="SXDP"/>
    <n v="0"/>
    <n v="0"/>
    <s v="None"/>
    <n v="6508"/>
    <x v="33"/>
  </r>
  <r>
    <n v="121"/>
    <d v="2025-12-13T00:00:00"/>
    <s v="FW"/>
    <d v="1899-12-30T18:07:00"/>
    <s v="Saturday"/>
    <s v="DRIFTWOOD STOP"/>
    <s v="PXDCS"/>
    <n v="0"/>
    <n v="0"/>
    <s v="E"/>
    <n v="6501"/>
    <x v="34"/>
  </r>
  <r>
    <n v="122"/>
    <d v="2025-12-13T00:00:00"/>
    <s v="FW"/>
    <d v="1899-12-30T19:18:00"/>
    <s v="Saturday"/>
    <s v="SENTINEL STOP"/>
    <s v="TXOVS"/>
    <n v="0"/>
    <n v="0"/>
    <s v="W"/>
    <n v="6511"/>
    <x v="14"/>
  </r>
  <r>
    <n v="123"/>
    <d v="2025-12-13T00:00:00"/>
    <s v="FW"/>
    <d v="1899-12-30T20:43:00"/>
    <s v="Saturday"/>
    <s v="FINCH WEST FWLRT STATI"/>
    <s v="EXDO"/>
    <n v="4"/>
    <n v="14"/>
    <s v="W"/>
    <n v="6508"/>
    <x v="11"/>
  </r>
  <r>
    <n v="124"/>
    <d v="2025-12-13T00:00:00"/>
    <s v="FW"/>
    <d v="1899-12-30T21:32:00"/>
    <s v="Saturday"/>
    <s v="ALBION STOP"/>
    <s v="TXO"/>
    <n v="6"/>
    <n v="18"/>
    <s v="W"/>
    <n v="6508"/>
    <x v="6"/>
  </r>
  <r>
    <n v="125"/>
    <d v="2025-12-14T00:00:00"/>
    <s v="FW"/>
    <d v="1899-12-30T08:13:00"/>
    <s v="Sunday"/>
    <s v="WESTMORE STOP"/>
    <s v="EXO"/>
    <n v="3"/>
    <n v="13"/>
    <s v="E"/>
    <n v="6513"/>
    <x v="5"/>
  </r>
  <r>
    <n v="126"/>
    <d v="2025-12-14T00:00:00"/>
    <s v="FW"/>
    <d v="1899-12-30T08:22:00"/>
    <s v="Sunday"/>
    <s v="JANE AND FINCH STOP"/>
    <s v="EXAC"/>
    <n v="6"/>
    <n v="16"/>
    <s v="E"/>
    <n v="6517"/>
    <x v="15"/>
  </r>
  <r>
    <n v="127"/>
    <d v="2025-12-14T00:00:00"/>
    <s v="FW"/>
    <d v="1899-12-30T08:31:00"/>
    <s v="Sunday"/>
    <s v="ROWNTREE MILLS STOP (A"/>
    <s v="EXBK"/>
    <n v="119"/>
    <n v="129"/>
    <s v="E"/>
    <n v="6513"/>
    <x v="2"/>
  </r>
  <r>
    <n v="128"/>
    <d v="2025-12-14T00:00:00"/>
    <s v="FW"/>
    <d v="1899-12-30T10:26:00"/>
    <s v="Sunday"/>
    <s v="MILVAN RUMIKE STOP"/>
    <s v="EXDO"/>
    <n v="3"/>
    <n v="13"/>
    <s v="E"/>
    <n v="6517"/>
    <x v="11"/>
  </r>
  <r>
    <n v="129"/>
    <d v="2025-12-14T00:00:00"/>
    <s v="FW"/>
    <d v="1899-12-30T10:42:00"/>
    <s v="Sunday"/>
    <s v="ALBION STOP"/>
    <s v="EXTM"/>
    <n v="3"/>
    <n v="13"/>
    <s v="E"/>
    <n v="6506"/>
    <x v="1"/>
  </r>
  <r>
    <n v="130"/>
    <d v="2025-12-14T00:00:00"/>
    <s v="FW"/>
    <d v="1899-12-30T12:01:00"/>
    <s v="Sunday"/>
    <s v="MARTIN GROVE STOP"/>
    <s v="EXTM"/>
    <n v="3"/>
    <n v="13"/>
    <s v="W"/>
    <n v="6514"/>
    <x v="1"/>
  </r>
  <r>
    <n v="131"/>
    <d v="2025-12-14T00:00:00"/>
    <s v="FW"/>
    <d v="1899-12-30T12:18:00"/>
    <s v="Sunday"/>
    <s v="SENTINEL STOP"/>
    <s v="EXTM"/>
    <n v="5"/>
    <n v="15"/>
    <s v="W"/>
    <n v="6501"/>
    <x v="1"/>
  </r>
  <r>
    <n v="132"/>
    <d v="2025-12-14T00:00:00"/>
    <s v="FW"/>
    <d v="1899-12-30T13:53:00"/>
    <s v="Sunday"/>
    <s v="HUMBER COLLEGE STOP"/>
    <s v="MXTO"/>
    <n v="5"/>
    <n v="10"/>
    <s v="E"/>
    <n v="6514"/>
    <x v="4"/>
  </r>
  <r>
    <n v="133"/>
    <d v="2025-12-14T00:00:00"/>
    <s v="FW"/>
    <d v="1899-12-30T18:31:00"/>
    <s v="Sunday"/>
    <s v="JANE FWLRT STOP"/>
    <s v="EXAC"/>
    <n v="0"/>
    <n v="0"/>
    <s v="W"/>
    <n v="6514"/>
    <x v="15"/>
  </r>
  <r>
    <n v="134"/>
    <d v="2025-12-14T00:00:00"/>
    <s v="FW"/>
    <d v="1899-12-30T19:00:00"/>
    <s v="Sunday"/>
    <s v="MILVAN RUMIKE STOP"/>
    <s v="MXIE"/>
    <n v="12"/>
    <n v="24"/>
    <s v="E"/>
    <n v="6501"/>
    <x v="25"/>
  </r>
  <r>
    <n v="135"/>
    <d v="2025-12-14T00:00:00"/>
    <s v="FW"/>
    <d v="1899-12-30T19:12:00"/>
    <s v="Sunday"/>
    <s v="YORK GATE"/>
    <s v="PXSW"/>
    <n v="12"/>
    <n v="24"/>
    <s v="W"/>
    <n v="0"/>
    <x v="17"/>
  </r>
  <r>
    <n v="136"/>
    <d v="2025-12-14T00:00:00"/>
    <s v="FW"/>
    <d v="1899-12-30T19:32:00"/>
    <s v="Sunday"/>
    <s v="FINCH WEST FWLRT STATI"/>
    <s v="MXIE"/>
    <n v="0"/>
    <n v="0"/>
    <s v="W"/>
    <n v="6501"/>
    <x v="25"/>
  </r>
  <r>
    <n v="137"/>
    <d v="2025-12-15T00:00:00"/>
    <s v="FW"/>
    <d v="1899-12-30T02:01:00"/>
    <s v="Monday"/>
    <s v="YORK GATE FWMSF"/>
    <s v="SXO"/>
    <n v="0"/>
    <n v="0"/>
    <s v="None"/>
    <n v="0"/>
    <x v="18"/>
  </r>
  <r>
    <n v="138"/>
    <d v="2025-12-15T00:00:00"/>
    <s v="FW"/>
    <d v="1899-12-30T07:53:00"/>
    <s v="Monday"/>
    <s v="JANE FWLRT STOP"/>
    <s v="EXTM"/>
    <n v="4"/>
    <n v="7"/>
    <s v="W"/>
    <n v="6505"/>
    <x v="1"/>
  </r>
  <r>
    <n v="139"/>
    <d v="2025-12-15T00:00:00"/>
    <s v="FW"/>
    <d v="1899-12-30T08:09:00"/>
    <s v="Monday"/>
    <s v="DUNCANWOODS STOP (ENTE"/>
    <s v="TXOVS"/>
    <n v="0"/>
    <n v="0"/>
    <s v="W"/>
    <n v="6511"/>
    <x v="14"/>
  </r>
  <r>
    <n v="140"/>
    <d v="2025-12-15T00:00:00"/>
    <s v="FW"/>
    <d v="1899-12-30T08:50:00"/>
    <s v="Monday"/>
    <s v="FINCH WEST FWLRT STATI"/>
    <s v="EXBO"/>
    <n v="4"/>
    <n v="8"/>
    <s v="W"/>
    <n v="6515"/>
    <x v="3"/>
  </r>
  <r>
    <n v="141"/>
    <d v="2025-12-15T00:00:00"/>
    <s v="FW"/>
    <d v="1899-12-30T09:31:00"/>
    <s v="Monday"/>
    <s v="WESTMORE STOP (ENETERI"/>
    <s v="TXOVS"/>
    <n v="0"/>
    <n v="0"/>
    <s v="E"/>
    <n v="6516"/>
    <x v="14"/>
  </r>
  <r>
    <n v="142"/>
    <d v="2025-12-15T00:00:00"/>
    <s v="FW"/>
    <d v="1899-12-30T09:55:00"/>
    <s v="Monday"/>
    <s v="FINCH WEST FWLRT STATI"/>
    <s v="MXTO"/>
    <n v="5"/>
    <n v="9"/>
    <s v="W"/>
    <n v="6503"/>
    <x v="4"/>
  </r>
  <r>
    <n v="143"/>
    <d v="2025-12-15T00:00:00"/>
    <s v="FW"/>
    <d v="1899-12-30T12:11:00"/>
    <s v="Monday"/>
    <s v="YORK GATE"/>
    <s v="PXSW"/>
    <n v="0"/>
    <n v="0"/>
    <s v="None"/>
    <n v="0"/>
    <x v="17"/>
  </r>
  <r>
    <n v="144"/>
    <d v="2025-12-15T00:00:00"/>
    <s v="FW"/>
    <d v="1899-12-30T14:08:00"/>
    <s v="Monday"/>
    <s v="STEVENSON STOP"/>
    <s v="EXO"/>
    <n v="7"/>
    <n v="17"/>
    <s v="E"/>
    <n v="6504"/>
    <x v="5"/>
  </r>
  <r>
    <n v="145"/>
    <d v="2025-12-15T00:00:00"/>
    <s v="FW"/>
    <d v="1899-12-30T15:29:00"/>
    <s v="Monday"/>
    <s v="PEARLDALE STOP"/>
    <s v="MXPAA"/>
    <n v="4"/>
    <n v="10"/>
    <s v="E"/>
    <n v="6516"/>
    <x v="35"/>
  </r>
  <r>
    <n v="146"/>
    <d v="2025-12-15T00:00:00"/>
    <s v="FW"/>
    <d v="1899-12-30T15:40:00"/>
    <s v="Monday"/>
    <s v="JANE AND FINCH"/>
    <s v="EXAC"/>
    <n v="6"/>
    <n v="12"/>
    <s v="E"/>
    <n v="6512"/>
    <x v="15"/>
  </r>
  <r>
    <n v="147"/>
    <d v="2025-12-15T00:00:00"/>
    <s v="FW"/>
    <d v="1899-12-30T16:00:00"/>
    <s v="Monday"/>
    <s v="FINCH WEST FWLRT STATI"/>
    <s v="PXTDN"/>
    <n v="6"/>
    <n v="12"/>
    <s v="W"/>
    <n v="6509"/>
    <x v="36"/>
  </r>
  <r>
    <n v="148"/>
    <d v="2025-12-15T00:00:00"/>
    <s v="FW"/>
    <d v="1899-12-30T17:06:00"/>
    <s v="Monday"/>
    <s v="ALBION STOP"/>
    <s v="EXNEA"/>
    <n v="0"/>
    <n v="0"/>
    <s v="E"/>
    <n v="0"/>
    <x v="24"/>
  </r>
  <r>
    <n v="149"/>
    <d v="2025-12-15T00:00:00"/>
    <s v="FW"/>
    <d v="1899-12-30T22:31:00"/>
    <s v="Monday"/>
    <s v="DRIFTWOOD STOP"/>
    <s v="EXO"/>
    <n v="0"/>
    <n v="0"/>
    <s v="E"/>
    <n v="6514"/>
    <x v="5"/>
  </r>
  <r>
    <n v="150"/>
    <d v="2025-12-16T00:00:00"/>
    <s v="FW"/>
    <d v="1899-12-30T04:54:00"/>
    <s v="Tuesday"/>
    <s v="HUMBER COLLEGE STOP"/>
    <s v="EXGA"/>
    <n v="26"/>
    <n v="36"/>
    <s v="None"/>
    <n v="6509"/>
    <x v="27"/>
  </r>
  <r>
    <n v="151"/>
    <d v="2025-12-16T00:00:00"/>
    <s v="FW"/>
    <d v="1899-12-30T05:07:00"/>
    <s v="Tuesday"/>
    <s v="JANE FWLRT STOP"/>
    <s v="EXO"/>
    <n v="0"/>
    <n v="0"/>
    <s v="E"/>
    <n v="6511"/>
    <x v="5"/>
  </r>
  <r>
    <n v="152"/>
    <d v="2025-12-16T00:00:00"/>
    <s v="FW"/>
    <d v="1899-12-30T05:13:00"/>
    <s v="Tuesday"/>
    <s v="DUNCANWOODS STOP"/>
    <s v="TXOVS"/>
    <n v="0"/>
    <n v="0"/>
    <s v="W"/>
    <n v="6508"/>
    <x v="14"/>
  </r>
  <r>
    <n v="153"/>
    <d v="2025-12-16T00:00:00"/>
    <s v="FW"/>
    <d v="1899-12-30T06:06:00"/>
    <s v="Tuesday"/>
    <s v="SENTINEL STOP"/>
    <s v="TXOS"/>
    <n v="0"/>
    <n v="0"/>
    <s v="W"/>
    <n v="6504"/>
    <x v="7"/>
  </r>
  <r>
    <n v="154"/>
    <d v="2025-12-16T00:00:00"/>
    <s v="FW"/>
    <d v="1899-12-30T06:52:00"/>
    <s v="Tuesday"/>
    <s v="FINCH WEST FWLRT LINE"/>
    <s v="PXSCA"/>
    <n v="0"/>
    <n v="0"/>
    <s v="None"/>
    <n v="0"/>
    <x v="37"/>
  </r>
  <r>
    <n v="155"/>
    <d v="2025-12-16T00:00:00"/>
    <s v="FW"/>
    <d v="1899-12-30T07:24:00"/>
    <s v="Tuesday"/>
    <s v="HUMBER COLLEGE STOP -"/>
    <s v="EXAC"/>
    <n v="15"/>
    <n v="19"/>
    <s v="None"/>
    <n v="6502"/>
    <x v="15"/>
  </r>
  <r>
    <n v="156"/>
    <d v="2025-12-16T00:00:00"/>
    <s v="FW"/>
    <d v="1899-12-30T08:51:00"/>
    <s v="Tuesday"/>
    <s v="JANE FWLRT STOP"/>
    <s v="EXBK"/>
    <n v="23"/>
    <n v="27"/>
    <s v="W"/>
    <n v="6507"/>
    <x v="2"/>
  </r>
  <r>
    <n v="157"/>
    <d v="2025-12-16T00:00:00"/>
    <s v="FW"/>
    <d v="1899-12-30T09:23:00"/>
    <s v="Tuesday"/>
    <s v="DRIFTWOOD STOP"/>
    <s v="EXO"/>
    <n v="0"/>
    <n v="0"/>
    <s v="E"/>
    <n v="6515"/>
    <x v="5"/>
  </r>
  <r>
    <n v="158"/>
    <d v="2025-12-16T00:00:00"/>
    <s v="FW"/>
    <d v="1899-12-30T11:13:00"/>
    <s v="Tuesday"/>
    <s v="MILVAN RUMIKE STOP"/>
    <s v="MXPAA"/>
    <n v="0"/>
    <n v="0"/>
    <s v="W"/>
    <n v="6504"/>
    <x v="35"/>
  </r>
  <r>
    <n v="159"/>
    <d v="2025-12-16T00:00:00"/>
    <s v="FW"/>
    <d v="1899-12-30T11:47:00"/>
    <s v="Tuesday"/>
    <s v="FINCH WEST FWLRT STATI"/>
    <s v="EXAC"/>
    <n v="5"/>
    <n v="15"/>
    <s v="W"/>
    <n v="6501"/>
    <x v="15"/>
  </r>
  <r>
    <n v="160"/>
    <d v="2025-12-16T00:00:00"/>
    <s v="FW"/>
    <d v="1899-12-30T15:21:00"/>
    <s v="Tuesday"/>
    <s v="MOUNT OLIVE STOP"/>
    <s v="EXCE"/>
    <n v="25"/>
    <n v="32"/>
    <s v="W"/>
    <n v="6503"/>
    <x v="26"/>
  </r>
  <r>
    <n v="161"/>
    <d v="2025-12-17T00:00:00"/>
    <s v="FW"/>
    <d v="1899-12-30T05:41:00"/>
    <s v="Wednesday"/>
    <s v="HUMBER COLLEGE STOP"/>
    <s v="EXO"/>
    <n v="0"/>
    <n v="0"/>
    <s v="E"/>
    <n v="6517"/>
    <x v="5"/>
  </r>
  <r>
    <n v="162"/>
    <d v="2025-12-17T00:00:00"/>
    <s v="FW"/>
    <d v="1899-12-30T06:51:00"/>
    <s v="Wednesday"/>
    <s v="NORFINCH OAKDALE STOP"/>
    <s v="EXO"/>
    <n v="5"/>
    <n v="11"/>
    <s v="W"/>
    <n v="6507"/>
    <x v="5"/>
  </r>
  <r>
    <n v="163"/>
    <d v="2025-12-17T00:00:00"/>
    <s v="FW"/>
    <d v="1899-12-30T06:58:00"/>
    <s v="Wednesday"/>
    <s v="JANE FWLRT STOP"/>
    <s v="EXAC"/>
    <n v="0"/>
    <n v="0"/>
    <s v="W"/>
    <n v="6516"/>
    <x v="15"/>
  </r>
  <r>
    <n v="164"/>
    <d v="2025-12-17T00:00:00"/>
    <s v="FW"/>
    <d v="1899-12-30T07:00:00"/>
    <s v="Wednesday"/>
    <s v="HUMBER COLLEGE STOP"/>
    <s v="EXO"/>
    <n v="0"/>
    <n v="0"/>
    <s v="E"/>
    <n v="6515"/>
    <x v="5"/>
  </r>
  <r>
    <n v="165"/>
    <d v="2025-12-17T00:00:00"/>
    <s v="FW"/>
    <d v="1899-12-30T07:04:00"/>
    <s v="Wednesday"/>
    <s v="EMERY STOP"/>
    <s v="EXO"/>
    <n v="0"/>
    <n v="0"/>
    <s v="W"/>
    <n v="6517"/>
    <x v="5"/>
  </r>
  <r>
    <n v="166"/>
    <d v="2025-12-17T00:00:00"/>
    <s v="FW"/>
    <d v="1899-12-30T07:13:00"/>
    <s v="Wednesday"/>
    <s v="MILVAN RUMIKE STOP"/>
    <s v="EXO"/>
    <n v="0"/>
    <n v="0"/>
    <s v="W"/>
    <n v="6516"/>
    <x v="5"/>
  </r>
  <r>
    <n v="167"/>
    <d v="2025-12-17T00:00:00"/>
    <s v="FW"/>
    <d v="1899-12-30T07:16:00"/>
    <s v="Wednesday"/>
    <s v="SIGNET ARROW STOP"/>
    <s v="EXO"/>
    <n v="0"/>
    <n v="0"/>
    <s v="W"/>
    <n v="6508"/>
    <x v="5"/>
  </r>
  <r>
    <n v="168"/>
    <d v="2025-12-17T00:00:00"/>
    <s v="FW"/>
    <d v="1899-12-30T07:28:00"/>
    <s v="Wednesday"/>
    <s v="JANE FWLRT STOP"/>
    <s v="EXO"/>
    <n v="6"/>
    <n v="12"/>
    <s v="E"/>
    <n v="6503"/>
    <x v="5"/>
  </r>
  <r>
    <n v="169"/>
    <d v="2025-12-17T00:00:00"/>
    <s v="FW"/>
    <d v="1899-12-30T07:45:00"/>
    <s v="Wednesday"/>
    <s v="JANE FWLRT STOP"/>
    <s v="EXNEA"/>
    <n v="6"/>
    <n v="12"/>
    <s v="E"/>
    <n v="0"/>
    <x v="24"/>
  </r>
  <r>
    <n v="170"/>
    <d v="2025-12-17T00:00:00"/>
    <s v="FW"/>
    <d v="1899-12-30T09:54:00"/>
    <s v="Wednesday"/>
    <s v="HUMBER COLLEGE STOP"/>
    <s v="TXOVS"/>
    <n v="3"/>
    <n v="10"/>
    <s v="E"/>
    <n v="6511"/>
    <x v="14"/>
  </r>
  <r>
    <n v="171"/>
    <d v="2025-12-17T00:00:00"/>
    <s v="FW"/>
    <d v="1899-12-30T10:17:00"/>
    <s v="Wednesday"/>
    <s v="FINCH WEST FWLRT STATI"/>
    <s v="EXO"/>
    <n v="5"/>
    <n v="12"/>
    <s v="W"/>
    <n v="0"/>
    <x v="5"/>
  </r>
  <r>
    <n v="172"/>
    <d v="2025-12-17T00:00:00"/>
    <s v="FW"/>
    <d v="1899-12-30T10:40:00"/>
    <s v="Wednesday"/>
    <s v="MILVAN RUMIKE STOP"/>
    <s v="EXAC"/>
    <n v="55"/>
    <n v="62"/>
    <s v="W"/>
    <n v="6517"/>
    <x v="15"/>
  </r>
  <r>
    <n v="173"/>
    <d v="2025-12-17T00:00:00"/>
    <s v="FW"/>
    <d v="1899-12-30T12:13:00"/>
    <s v="Wednesday"/>
    <s v="TOBERMORY STOP"/>
    <s v="EXO"/>
    <n v="0"/>
    <n v="0"/>
    <s v="W"/>
    <n v="6505"/>
    <x v="5"/>
  </r>
  <r>
    <n v="174"/>
    <d v="2025-12-17T00:00:00"/>
    <s v="FW"/>
    <d v="1899-12-30T15:20:00"/>
    <s v="Wednesday"/>
    <s v="FWMSF"/>
    <s v="EXYRD"/>
    <n v="6"/>
    <n v="12"/>
    <s v="W"/>
    <n v="6517"/>
    <x v="38"/>
  </r>
  <r>
    <n v="175"/>
    <d v="2025-12-17T00:00:00"/>
    <s v="FW"/>
    <d v="1899-12-30T15:57:00"/>
    <s v="Wednesday"/>
    <s v="NORTH HANDOVER"/>
    <s v="EXO"/>
    <n v="6"/>
    <n v="12"/>
    <s v="W"/>
    <n v="6517"/>
    <x v="5"/>
  </r>
  <r>
    <n v="176"/>
    <d v="2025-12-17T00:00:00"/>
    <s v="FW"/>
    <d v="1899-12-30T16:14:00"/>
    <s v="Wednesday"/>
    <s v="JANE AND FINCH"/>
    <s v="EXNEA"/>
    <n v="6"/>
    <n v="12"/>
    <s v="E"/>
    <n v="0"/>
    <x v="24"/>
  </r>
  <r>
    <n v="177"/>
    <d v="2025-12-17T00:00:00"/>
    <s v="FW"/>
    <d v="1899-12-30T17:17:00"/>
    <s v="Wednesday"/>
    <s v="FINCH WEST FWLRT STATI"/>
    <s v="EXO"/>
    <n v="10"/>
    <n v="20"/>
    <s v="W"/>
    <n v="6515"/>
    <x v="5"/>
  </r>
  <r>
    <n v="178"/>
    <d v="2025-12-17T00:00:00"/>
    <s v="FW"/>
    <d v="1899-12-30T17:36:00"/>
    <s v="Wednesday"/>
    <s v="SENTINEL STOP"/>
    <s v="EXBK"/>
    <n v="5"/>
    <n v="15"/>
    <s v="None"/>
    <n v="6511"/>
    <x v="2"/>
  </r>
  <r>
    <n v="179"/>
    <d v="2025-12-17T00:00:00"/>
    <s v="FW"/>
    <d v="1899-12-30T19:33:00"/>
    <s v="Wednesday"/>
    <s v="HUMBER COLLEGE STOP"/>
    <s v="EXAC"/>
    <n v="10"/>
    <n v="20"/>
    <s v="None"/>
    <n v="6504"/>
    <x v="15"/>
  </r>
  <r>
    <n v="180"/>
    <d v="2025-12-17T00:00:00"/>
    <s v="FW"/>
    <d v="1899-12-30T20:25:00"/>
    <s v="Wednesday"/>
    <s v="DRIFTWOOD STOP"/>
    <s v="TXS"/>
    <n v="15"/>
    <n v="25"/>
    <s v="E"/>
    <n v="6503"/>
    <x v="39"/>
  </r>
  <r>
    <n v="181"/>
    <d v="2025-12-17T00:00:00"/>
    <s v="FW"/>
    <d v="1899-12-30T20:34:00"/>
    <s v="Wednesday"/>
    <s v="DUNCANWOODS STOP"/>
    <s v="EXATC"/>
    <n v="8"/>
    <n v="18"/>
    <s v="W"/>
    <n v="6502"/>
    <x v="29"/>
  </r>
  <r>
    <n v="182"/>
    <d v="2025-12-18T00:00:00"/>
    <s v="FW"/>
    <d v="1899-12-30T03:13:00"/>
    <s v="Thursday"/>
    <s v="145 HUMBER COLLEGE BLV"/>
    <s v="PXEAS"/>
    <n v="0"/>
    <n v="0"/>
    <s v="None"/>
    <n v="0"/>
    <x v="40"/>
  </r>
  <r>
    <n v="183"/>
    <d v="2025-12-18T00:00:00"/>
    <s v="FW"/>
    <d v="1899-12-30T05:07:00"/>
    <s v="Thursday"/>
    <s v="HOPP 1"/>
    <s v="EXO"/>
    <n v="0"/>
    <n v="0"/>
    <s v="None"/>
    <n v="0"/>
    <x v="5"/>
  </r>
  <r>
    <n v="184"/>
    <d v="2025-12-18T00:00:00"/>
    <s v="FW"/>
    <d v="1899-12-30T05:12:00"/>
    <s v="Thursday"/>
    <s v="NORFINCH OAKDALE STOP"/>
    <s v="EXCE"/>
    <n v="0"/>
    <n v="0"/>
    <s v="None"/>
    <n v="6509"/>
    <x v="26"/>
  </r>
  <r>
    <n v="185"/>
    <d v="2025-12-18T00:00:00"/>
    <s v="FW"/>
    <d v="1899-12-30T05:17:00"/>
    <s v="Thursday"/>
    <s v="HUMBER 2 PLATFORM"/>
    <s v="EXO"/>
    <n v="0"/>
    <n v="0"/>
    <s v="W"/>
    <n v="6511"/>
    <x v="5"/>
  </r>
  <r>
    <n v="186"/>
    <d v="2025-12-18T00:00:00"/>
    <s v="FW"/>
    <d v="1899-12-30T06:54:00"/>
    <s v="Thursday"/>
    <s v="WESTMORE STOP"/>
    <s v="PXTS"/>
    <n v="5"/>
    <n v="11"/>
    <s v="W"/>
    <n v="6502"/>
    <x v="41"/>
  </r>
  <r>
    <n v="187"/>
    <d v="2025-12-18T00:00:00"/>
    <s v="FW"/>
    <d v="1899-12-30T07:24:00"/>
    <s v="Thursday"/>
    <s v="HUMBER COLLEGE STOP"/>
    <s v="PXSW"/>
    <n v="3"/>
    <n v="9"/>
    <s v="E"/>
    <n v="6516"/>
    <x v="17"/>
  </r>
  <r>
    <n v="188"/>
    <d v="2025-12-18T00:00:00"/>
    <s v="FW"/>
    <d v="1899-12-30T07:47:00"/>
    <s v="Thursday"/>
    <s v="JANE AND FINCH"/>
    <s v="EXNEA"/>
    <n v="6"/>
    <n v="12"/>
    <s v="E"/>
    <n v="0"/>
    <x v="24"/>
  </r>
  <r>
    <n v="189"/>
    <d v="2025-12-18T00:00:00"/>
    <s v="FW"/>
    <d v="1899-12-30T08:09:00"/>
    <s v="Thursday"/>
    <s v="STEVENSON STOP"/>
    <s v="EXTM"/>
    <n v="3"/>
    <n v="9"/>
    <s v="E"/>
    <n v="6505"/>
    <x v="1"/>
  </r>
  <r>
    <n v="190"/>
    <d v="2025-12-18T00:00:00"/>
    <s v="FW"/>
    <d v="1899-12-30T10:45:00"/>
    <s v="Thursday"/>
    <s v="MILVAN RUMIKE STOP"/>
    <s v="EXBO"/>
    <n v="3"/>
    <n v="13"/>
    <s v="E"/>
    <n v="6515"/>
    <x v="3"/>
  </r>
  <r>
    <n v="191"/>
    <d v="2025-12-18T00:00:00"/>
    <s v="FW"/>
    <d v="1899-12-30T11:00:00"/>
    <s v="Thursday"/>
    <s v="DRIFTWOOD STOP"/>
    <s v="EXTM"/>
    <n v="3"/>
    <n v="13"/>
    <s v="E"/>
    <n v="6515"/>
    <x v="1"/>
  </r>
  <r>
    <n v="192"/>
    <d v="2025-12-18T00:00:00"/>
    <s v="FW"/>
    <d v="1899-12-30T11:45:00"/>
    <s v="Thursday"/>
    <s v="SIGNET ARROW STOP"/>
    <s v="MXO"/>
    <n v="10"/>
    <n v="20"/>
    <s v="W"/>
    <n v="6511"/>
    <x v="8"/>
  </r>
  <r>
    <n v="193"/>
    <d v="2025-12-18T00:00:00"/>
    <s v="FW"/>
    <d v="1899-12-30T13:09:00"/>
    <s v="Thursday"/>
    <s v="SENTINEL STOP"/>
    <s v="MXO"/>
    <n v="5"/>
    <n v="15"/>
    <s v="W"/>
    <n v="6515"/>
    <x v="8"/>
  </r>
  <r>
    <n v="194"/>
    <d v="2025-12-18T00:00:00"/>
    <s v="FW"/>
    <d v="1899-12-30T13:23:00"/>
    <s v="Thursday"/>
    <s v="FWLRT YARD"/>
    <s v="PXSW"/>
    <n v="0"/>
    <n v="0"/>
    <s v="None"/>
    <n v="0"/>
    <x v="17"/>
  </r>
  <r>
    <n v="195"/>
    <d v="2025-12-18T00:00:00"/>
    <s v="FW"/>
    <d v="1899-12-30T15:12:00"/>
    <s v="Thursday"/>
    <s v="HAND OVER PLATFORM"/>
    <s v="EXCE"/>
    <n v="6"/>
    <n v="12"/>
    <s v="E"/>
    <n v="6505"/>
    <x v="26"/>
  </r>
  <r>
    <n v="196"/>
    <d v="2025-12-18T00:00:00"/>
    <s v="FW"/>
    <d v="1899-12-30T15:19:00"/>
    <s v="Thursday"/>
    <s v="HUMBER COLLEGE STOP"/>
    <s v="EXCE"/>
    <n v="6"/>
    <n v="12"/>
    <s v="E"/>
    <n v="6503"/>
    <x v="26"/>
  </r>
  <r>
    <n v="197"/>
    <d v="2025-12-18T00:00:00"/>
    <s v="FW"/>
    <d v="1899-12-30T18:56:00"/>
    <s v="Thursday"/>
    <s v="JANE FWLRT STOP"/>
    <s v="EXNEA"/>
    <n v="6"/>
    <n v="12"/>
    <s v="E"/>
    <n v="0"/>
    <x v="24"/>
  </r>
  <r>
    <n v="198"/>
    <d v="2025-12-19T00:00:00"/>
    <s v="FW"/>
    <d v="1899-12-30T06:36:00"/>
    <s v="Friday"/>
    <s v="FINCH WEST FWLRT STATI"/>
    <s v="EXO"/>
    <n v="10"/>
    <n v="20"/>
    <s v="W"/>
    <n v="6500"/>
    <x v="5"/>
  </r>
  <r>
    <n v="199"/>
    <d v="2025-12-19T00:00:00"/>
    <s v="FW"/>
    <d v="1899-12-30T07:47:00"/>
    <s v="Friday"/>
    <s v="JANE FWLRT STOP"/>
    <s v="EXNEA"/>
    <n v="10"/>
    <n v="20"/>
    <s v="E"/>
    <n v="0"/>
    <x v="24"/>
  </r>
  <r>
    <n v="200"/>
    <d v="2025-12-19T00:00:00"/>
    <s v="FW"/>
    <d v="1899-12-30T09:38:00"/>
    <s v="Friday"/>
    <s v="SENTINEL STOP"/>
    <s v="TXOVS"/>
    <n v="0"/>
    <n v="0"/>
    <s v="S"/>
    <n v="6508"/>
    <x v="14"/>
  </r>
  <r>
    <n v="201"/>
    <d v="2025-12-19T00:00:00"/>
    <s v="FW"/>
    <d v="1899-12-30T09:40:00"/>
    <s v="Friday"/>
    <s v="SENTINEL STOP"/>
    <s v="TXOVS"/>
    <n v="0"/>
    <n v="0"/>
    <s v="E"/>
    <n v="6509"/>
    <x v="14"/>
  </r>
  <r>
    <n v="202"/>
    <d v="2025-12-19T00:00:00"/>
    <s v="FW"/>
    <d v="1899-12-30T09:46:00"/>
    <s v="Friday"/>
    <s v="DRIFTWOOD STOP"/>
    <s v="MXIE"/>
    <n v="14"/>
    <n v="24"/>
    <s v="W"/>
    <n v="6508"/>
    <x v="25"/>
  </r>
  <r>
    <n v="203"/>
    <d v="2025-12-19T00:00:00"/>
    <s v="FW"/>
    <d v="1899-12-30T10:22:00"/>
    <s v="Friday"/>
    <s v="NORFINCH OAKDALE STOP"/>
    <s v="EXAC"/>
    <n v="4"/>
    <n v="10"/>
    <s v="W"/>
    <n v="6511"/>
    <x v="15"/>
  </r>
  <r>
    <n v="204"/>
    <d v="2025-12-19T00:00:00"/>
    <s v="FW"/>
    <d v="1899-12-30T10:31:00"/>
    <s v="Friday"/>
    <s v="FINCH WEST FWLRT STATI"/>
    <s v="SXUEG"/>
    <n v="5"/>
    <n v="12"/>
    <s v="E"/>
    <n v="6506"/>
    <x v="42"/>
  </r>
  <r>
    <n v="205"/>
    <d v="2025-12-19T00:00:00"/>
    <s v="FW"/>
    <d v="1899-12-30T12:04:00"/>
    <s v="Friday"/>
    <s v="HUMBER COLLEGE STOP"/>
    <s v="EXO"/>
    <n v="0"/>
    <n v="0"/>
    <s v="E"/>
    <n v="6513"/>
    <x v="5"/>
  </r>
  <r>
    <n v="206"/>
    <d v="2025-12-19T00:00:00"/>
    <s v="FW"/>
    <d v="1899-12-30T15:35:00"/>
    <s v="Friday"/>
    <s v="DRIFTWOOD STOP"/>
    <s v="MXIR"/>
    <n v="154"/>
    <n v="160"/>
    <s v="E"/>
    <n v="6506"/>
    <x v="43"/>
  </r>
  <r>
    <n v="207"/>
    <d v="2025-12-19T00:00:00"/>
    <s v="FW"/>
    <d v="1899-12-30T17:47:00"/>
    <s v="Friday"/>
    <s v="JANE FWLRT STOP"/>
    <s v="EXNEA"/>
    <n v="6"/>
    <n v="12"/>
    <s v="E"/>
    <n v="0"/>
    <x v="24"/>
  </r>
  <r>
    <n v="208"/>
    <d v="2025-12-20T00:00:00"/>
    <s v="FW"/>
    <d v="1899-12-30T09:18:00"/>
    <s v="Saturday"/>
    <s v="SENTINEL STOP"/>
    <s v="SXDP"/>
    <n v="0"/>
    <n v="0"/>
    <s v="None"/>
    <n v="6513"/>
    <x v="33"/>
  </r>
  <r>
    <n v="209"/>
    <d v="2025-12-20T00:00:00"/>
    <s v="FW"/>
    <d v="1899-12-30T10:41:00"/>
    <s v="Saturday"/>
    <s v="SIGNET ARROW STOP TO F"/>
    <s v="MXUS"/>
    <n v="7"/>
    <n v="10"/>
    <s v="E"/>
    <n v="6513"/>
    <x v="10"/>
  </r>
  <r>
    <n v="210"/>
    <d v="2025-12-20T00:00:00"/>
    <s v="FW"/>
    <d v="1899-12-30T10:53:00"/>
    <s v="Saturday"/>
    <s v="HUMBER COLLEGE STOP"/>
    <s v="SXUEG"/>
    <n v="0"/>
    <n v="0"/>
    <s v="None"/>
    <n v="0"/>
    <x v="42"/>
  </r>
  <r>
    <n v="211"/>
    <d v="2025-12-20T00:00:00"/>
    <s v="FW"/>
    <d v="1899-12-30T11:31:00"/>
    <s v="Saturday"/>
    <s v="FINCH WEST FWLRT STATI"/>
    <s v="MXO"/>
    <n v="10"/>
    <n v="20"/>
    <s v="W"/>
    <n v="6502"/>
    <x v="8"/>
  </r>
  <r>
    <n v="212"/>
    <d v="2025-12-20T00:00:00"/>
    <s v="FW"/>
    <d v="1899-12-30T11:44:00"/>
    <s v="Saturday"/>
    <s v="DUNCANWOODS STOP"/>
    <s v="TXOVS"/>
    <n v="3"/>
    <n v="13"/>
    <s v="W"/>
    <n v="6514"/>
    <x v="14"/>
  </r>
  <r>
    <n v="213"/>
    <d v="2025-12-20T00:00:00"/>
    <s v="FW"/>
    <d v="1899-12-30T13:03:00"/>
    <s v="Saturday"/>
    <s v="FINCH WEST FWLRT STATI"/>
    <s v="EXAC"/>
    <n v="10"/>
    <n v="20"/>
    <s v="None"/>
    <n v="6505"/>
    <x v="15"/>
  </r>
  <r>
    <n v="214"/>
    <d v="2025-12-20T00:00:00"/>
    <s v="FW"/>
    <d v="1899-12-30T13:25:00"/>
    <s v="Saturday"/>
    <s v="FINCH WEST FWLRT STATI"/>
    <s v="TXO"/>
    <n v="10"/>
    <n v="20"/>
    <s v="W"/>
    <n v="6500"/>
    <x v="6"/>
  </r>
  <r>
    <n v="215"/>
    <d v="2025-12-20T00:00:00"/>
    <s v="FW"/>
    <d v="1899-12-30T14:47:00"/>
    <s v="Saturday"/>
    <s v="JANE FWLRT STOP"/>
    <s v="MXPAA"/>
    <n v="0"/>
    <n v="0"/>
    <s v="W"/>
    <n v="6511"/>
    <x v="35"/>
  </r>
  <r>
    <n v="216"/>
    <d v="2025-12-20T00:00:00"/>
    <s v="FW"/>
    <d v="1899-12-30T14:48:00"/>
    <s v="Saturday"/>
    <s v="DUNCANWOODS STOP"/>
    <s v="TXOVS"/>
    <n v="3"/>
    <n v="13"/>
    <s v="W"/>
    <n v="6516"/>
    <x v="14"/>
  </r>
  <r>
    <n v="217"/>
    <d v="2025-12-20T00:00:00"/>
    <s v="FW"/>
    <d v="1899-12-30T14:52:00"/>
    <s v="Saturday"/>
    <s v="FINCH WEST FWLRT STATI"/>
    <s v="MXIE"/>
    <n v="14"/>
    <n v="28"/>
    <s v="W"/>
    <n v="6505"/>
    <x v="25"/>
  </r>
  <r>
    <n v="218"/>
    <d v="2025-12-20T00:00:00"/>
    <s v="FW"/>
    <d v="1899-12-30T15:02:00"/>
    <s v="Saturday"/>
    <s v="FINCH WEST FWLRT STATI"/>
    <s v="EXO"/>
    <n v="10"/>
    <n v="20"/>
    <s v="W"/>
    <n v="6514"/>
    <x v="5"/>
  </r>
  <r>
    <n v="219"/>
    <d v="2025-12-20T00:00:00"/>
    <s v="FW"/>
    <d v="1899-12-30T17:26:00"/>
    <s v="Saturday"/>
    <s v="SIGNET ARROW STOP"/>
    <s v="EXAC"/>
    <n v="10"/>
    <n v="20"/>
    <s v="W"/>
    <n v="6514"/>
    <x v="15"/>
  </r>
  <r>
    <n v="220"/>
    <d v="2025-12-20T00:00:00"/>
    <s v="FW"/>
    <d v="1899-12-30T22:05:00"/>
    <s v="Saturday"/>
    <s v="FINCH WEST FWLRT STATI"/>
    <s v="SXO"/>
    <n v="0"/>
    <n v="0"/>
    <s v="None"/>
    <n v="0"/>
    <x v="18"/>
  </r>
  <r>
    <n v="221"/>
    <d v="2025-12-21T00:00:00"/>
    <s v="FW"/>
    <d v="1899-12-30T08:32:00"/>
    <s v="Sunday"/>
    <s v="JANE FWLRT STOP"/>
    <s v="PXDCS"/>
    <n v="5"/>
    <n v="15"/>
    <s v="E"/>
    <n v="6507"/>
    <x v="34"/>
  </r>
  <r>
    <n v="222"/>
    <d v="2025-12-21T00:00:00"/>
    <s v="FW"/>
    <d v="1899-12-30T12:11:00"/>
    <s v="Sunday"/>
    <s v="JANE FWLRT STOP"/>
    <s v="EXTM"/>
    <n v="3"/>
    <n v="13"/>
    <s v="W"/>
    <n v="6503"/>
    <x v="1"/>
  </r>
  <r>
    <n v="223"/>
    <d v="2025-12-21T00:00:00"/>
    <s v="FW"/>
    <d v="1899-12-30T12:30:00"/>
    <s v="Sunday"/>
    <s v="PEARLDALE STOP"/>
    <s v="EXTM"/>
    <n v="0"/>
    <n v="0"/>
    <s v="W"/>
    <n v="6503"/>
    <x v="1"/>
  </r>
  <r>
    <n v="224"/>
    <d v="2025-12-21T00:00:00"/>
    <s v="FW"/>
    <d v="1899-12-30T17:59:00"/>
    <s v="Sunday"/>
    <s v="MILVAN RUMIKE STOP TO"/>
    <s v="MXUS"/>
    <n v="8"/>
    <n v="18"/>
    <s v="E"/>
    <n v="6511"/>
    <x v="10"/>
  </r>
  <r>
    <n v="225"/>
    <d v="2025-12-21T00:00:00"/>
    <s v="FW"/>
    <d v="1899-12-30T21:19:00"/>
    <s v="Sunday"/>
    <s v="MOUNT OLIVE STOP"/>
    <s v="MXD"/>
    <n v="0"/>
    <n v="0"/>
    <s v="W"/>
    <n v="6513"/>
    <x v="44"/>
  </r>
  <r>
    <n v="226"/>
    <d v="2025-12-21T00:00:00"/>
    <s v="FW"/>
    <d v="1899-12-30T21:38:00"/>
    <s v="Sunday"/>
    <s v="SENTINEL STOP"/>
    <s v="MXD"/>
    <n v="0"/>
    <n v="0"/>
    <s v="E"/>
    <n v="6515"/>
    <x v="44"/>
  </r>
  <r>
    <n v="227"/>
    <d v="2025-12-21T00:00:00"/>
    <s v="FW"/>
    <d v="1899-12-30T21:49:00"/>
    <s v="Sunday"/>
    <s v="FINCH WEST FWLRT STATI"/>
    <s v="EXGA"/>
    <n v="0"/>
    <n v="0"/>
    <s v="E"/>
    <n v="6503"/>
    <x v="27"/>
  </r>
  <r>
    <n v="228"/>
    <d v="2025-12-22T00:00:00"/>
    <s v="FW"/>
    <d v="1899-12-30T07:06:00"/>
    <s v="Monday"/>
    <s v="HUMBER COLLEGE STOP"/>
    <s v="EXBO"/>
    <n v="6"/>
    <n v="12"/>
    <s v="E"/>
    <n v="6515"/>
    <x v="3"/>
  </r>
  <r>
    <n v="229"/>
    <d v="2025-12-22T00:00:00"/>
    <s v="FW"/>
    <d v="1899-12-30T07:30:00"/>
    <s v="Monday"/>
    <s v="FINCH WEST FWLRT"/>
    <s v="EXAC"/>
    <n v="5"/>
    <n v="11"/>
    <s v="W"/>
    <n v="6505"/>
    <x v="15"/>
  </r>
  <r>
    <n v="230"/>
    <d v="2025-12-22T00:00:00"/>
    <s v="FW"/>
    <d v="1899-12-30T10:47:00"/>
    <s v="Monday"/>
    <s v="JANE FWLRT STOP"/>
    <s v="EXTM"/>
    <n v="0"/>
    <n v="0"/>
    <s v="W"/>
    <n v="6507"/>
    <x v="1"/>
  </r>
  <r>
    <n v="231"/>
    <d v="2025-12-22T00:00:00"/>
    <s v="FW"/>
    <d v="1899-12-30T12:13:00"/>
    <s v="Monday"/>
    <s v="DRIFTWOOD STOP"/>
    <s v="EXYRD"/>
    <n v="5"/>
    <n v="14"/>
    <s v="W"/>
    <n v="6502"/>
    <x v="38"/>
  </r>
  <r>
    <n v="232"/>
    <d v="2025-12-22T00:00:00"/>
    <s v="FW"/>
    <d v="1899-12-30T12:56:00"/>
    <s v="Monday"/>
    <s v="JANE FWLRT STOP"/>
    <s v="MXUS"/>
    <n v="6"/>
    <n v="15"/>
    <s v="E"/>
    <n v="6500"/>
    <x v="10"/>
  </r>
  <r>
    <n v="233"/>
    <d v="2025-12-22T00:00:00"/>
    <s v="FW"/>
    <d v="1899-12-30T14:09:00"/>
    <s v="Monday"/>
    <s v="STEVENSON STOP"/>
    <s v="EXTR"/>
    <n v="3"/>
    <n v="12"/>
    <s v="E"/>
    <n v="6508"/>
    <x v="32"/>
  </r>
  <r>
    <n v="234"/>
    <d v="2025-12-22T00:00:00"/>
    <s v="FW"/>
    <d v="1899-12-30T14:18:00"/>
    <s v="Monday"/>
    <s v="DUNCANWOODS STOP"/>
    <s v="TXOVS"/>
    <n v="0"/>
    <n v="0"/>
    <s v="W"/>
    <n v="6507"/>
    <x v="14"/>
  </r>
  <r>
    <n v="235"/>
    <d v="2025-12-22T00:00:00"/>
    <s v="FW"/>
    <d v="1899-12-30T16:10:00"/>
    <s v="Monday"/>
    <s v="HUMBER COLLEGE STOP"/>
    <s v="MXTO"/>
    <n v="7"/>
    <n v="14"/>
    <s v="E"/>
    <n v="6513"/>
    <x v="4"/>
  </r>
  <r>
    <n v="236"/>
    <d v="2025-12-22T00:00:00"/>
    <s v="FW"/>
    <d v="1899-12-30T16:12:00"/>
    <s v="Monday"/>
    <s v="HUMBER COLLEGE STOP"/>
    <s v="MXTO"/>
    <n v="0"/>
    <n v="0"/>
    <s v="E"/>
    <n v="6502"/>
    <x v="4"/>
  </r>
  <r>
    <n v="237"/>
    <d v="2025-12-22T00:00:00"/>
    <s v="FW"/>
    <d v="1899-12-30T16:24:00"/>
    <s v="Monday"/>
    <s v="WESTMORE (APPROACHING)"/>
    <s v="TXOVS"/>
    <n v="0"/>
    <n v="0"/>
    <s v="E"/>
    <n v="6502"/>
    <x v="14"/>
  </r>
  <r>
    <n v="238"/>
    <d v="2025-12-22T00:00:00"/>
    <s v="FW"/>
    <d v="1899-12-30T16:45:00"/>
    <s v="Monday"/>
    <s v="ROWNTREE MILLS STOP"/>
    <s v="TXOVS"/>
    <n v="3"/>
    <n v="10"/>
    <s v="W"/>
    <n v="6509"/>
    <x v="14"/>
  </r>
  <r>
    <n v="239"/>
    <d v="2025-12-22T00:00:00"/>
    <s v="FW"/>
    <d v="1899-12-30T17:21:00"/>
    <s v="Monday"/>
    <s v="PEARLDALE STOP"/>
    <s v="TXOVS"/>
    <n v="0"/>
    <n v="0"/>
    <s v="E"/>
    <n v="6515"/>
    <x v="14"/>
  </r>
  <r>
    <n v="240"/>
    <d v="2025-12-22T00:00:00"/>
    <s v="FW"/>
    <d v="1899-12-30T19:42:00"/>
    <s v="Monday"/>
    <s v="NORFINCH OAKDALE STOP"/>
    <s v="EXBK"/>
    <n v="35"/>
    <n v="45"/>
    <s v="E"/>
    <n v="6511"/>
    <x v="2"/>
  </r>
  <r>
    <n v="241"/>
    <d v="2025-12-22T00:00:00"/>
    <s v="FW"/>
    <d v="1899-12-30T23:08:00"/>
    <s v="Monday"/>
    <s v="FINCH WEST FWLRT STATI"/>
    <s v="TXST"/>
    <n v="0"/>
    <n v="0"/>
    <s v="None"/>
    <n v="0"/>
    <x v="45"/>
  </r>
  <r>
    <n v="242"/>
    <d v="2025-12-23T00:00:00"/>
    <s v="FW"/>
    <d v="1899-12-30T06:46:00"/>
    <s v="Tuesday"/>
    <s v="FINCH WEST LRV STOP"/>
    <s v="EXO"/>
    <n v="7"/>
    <n v="17"/>
    <s v="W"/>
    <n v="6515"/>
    <x v="5"/>
  </r>
  <r>
    <n v="243"/>
    <d v="2025-12-23T00:00:00"/>
    <s v="FW"/>
    <d v="1899-12-30T08:30:00"/>
    <s v="Tuesday"/>
    <s v="FINCH WEST FWLRT STATI"/>
    <s v="MXTO"/>
    <n v="7"/>
    <n v="14"/>
    <s v="W"/>
    <n v="6515"/>
    <x v="4"/>
  </r>
  <r>
    <n v="244"/>
    <d v="2025-12-23T00:00:00"/>
    <s v="FW"/>
    <d v="1899-12-30T11:23:00"/>
    <s v="Tuesday"/>
    <s v="HUMBER COLLEGE STOP"/>
    <s v="TXSUP"/>
    <n v="3"/>
    <n v="13"/>
    <s v="None"/>
    <n v="6500"/>
    <x v="46"/>
  </r>
  <r>
    <n v="245"/>
    <d v="2025-12-23T00:00:00"/>
    <s v="FW"/>
    <d v="1899-12-30T14:49:00"/>
    <s v="Tuesday"/>
    <s v="HUMBER COLLEGE STOP"/>
    <s v="EXO"/>
    <n v="5"/>
    <n v="15"/>
    <s v="W"/>
    <n v="6500"/>
    <x v="5"/>
  </r>
  <r>
    <n v="246"/>
    <d v="2025-12-23T00:00:00"/>
    <s v="FW"/>
    <d v="1899-12-30T16:07:00"/>
    <s v="Tuesday"/>
    <s v="FINCH WEST FWLRT STATI"/>
    <s v="MXTO"/>
    <n v="9"/>
    <n v="15"/>
    <s v="E"/>
    <n v="6513"/>
    <x v="4"/>
  </r>
  <r>
    <n v="247"/>
    <d v="2025-12-23T00:00:00"/>
    <s v="FW"/>
    <d v="1899-12-30T17:54:00"/>
    <s v="Tuesday"/>
    <s v="APPRAOACHING AT FINCH"/>
    <s v="EXBK"/>
    <n v="16"/>
    <n v="10"/>
    <s v="E"/>
    <n v="6506"/>
    <x v="2"/>
  </r>
  <r>
    <n v="248"/>
    <d v="2025-12-23T00:00:00"/>
    <s v="FW"/>
    <d v="1899-12-30T18:45:00"/>
    <s v="Tuesday"/>
    <s v="FINCH WEST FWLRT STATI"/>
    <s v="TXO"/>
    <n v="3"/>
    <n v="13"/>
    <s v="W"/>
    <n v="6502"/>
    <x v="6"/>
  </r>
  <r>
    <n v="249"/>
    <d v="2025-12-23T00:00:00"/>
    <s v="FW"/>
    <d v="1899-12-30T19:22:00"/>
    <s v="Tuesday"/>
    <s v="FINCH WEST YARD"/>
    <s v="EXO"/>
    <n v="0"/>
    <n v="0"/>
    <s v="E"/>
    <n v="6504"/>
    <x v="5"/>
  </r>
  <r>
    <n v="250"/>
    <d v="2025-12-23T00:00:00"/>
    <s v="FW"/>
    <d v="1899-12-30T20:56:00"/>
    <s v="Tuesday"/>
    <s v="FINCH WEST FWLRT STATI"/>
    <s v="MXTO"/>
    <n v="8"/>
    <n v="20"/>
    <s v="E"/>
    <n v="6500"/>
    <x v="4"/>
  </r>
  <r>
    <n v="251"/>
    <d v="2025-12-23T00:00:00"/>
    <s v="FW"/>
    <d v="1899-12-30T21:48:00"/>
    <s v="Tuesday"/>
    <s v="NORFINCH OAKDALE STOP"/>
    <s v="TXOVS"/>
    <n v="0"/>
    <n v="0"/>
    <s v="E"/>
    <n v="6508"/>
    <x v="14"/>
  </r>
  <r>
    <n v="252"/>
    <d v="2025-12-24T00:00:00"/>
    <s v="FW"/>
    <d v="1899-12-30T08:00:00"/>
    <s v="Wednesday"/>
    <s v="FINCH WEST FWLRT STATI"/>
    <s v="EXGA"/>
    <n v="10"/>
    <n v="17"/>
    <s v="W"/>
    <n v="6507"/>
    <x v="27"/>
  </r>
  <r>
    <n v="253"/>
    <d v="2025-12-24T00:00:00"/>
    <s v="FW"/>
    <d v="1899-12-30T09:40:00"/>
    <s v="Wednesday"/>
    <s v="MARTIN GROVE STOP"/>
    <s v="TXOVS"/>
    <n v="3"/>
    <n v="10"/>
    <s v="E"/>
    <n v="6506"/>
    <x v="14"/>
  </r>
  <r>
    <n v="254"/>
    <d v="2025-12-24T00:00:00"/>
    <s v="FW"/>
    <d v="1899-12-30T10:37:00"/>
    <s v="Wednesday"/>
    <s v="NORFINCH OAKDALE STOP"/>
    <s v="TXOVS"/>
    <n v="0"/>
    <n v="0"/>
    <s v="E"/>
    <n v="6513"/>
    <x v="14"/>
  </r>
  <r>
    <n v="255"/>
    <d v="2025-12-24T00:00:00"/>
    <s v="FW"/>
    <d v="1899-12-30T20:28:00"/>
    <s v="Wednesday"/>
    <s v="JANE FWLRT STOP"/>
    <s v="TXOVS"/>
    <n v="0"/>
    <n v="0"/>
    <s v="W"/>
    <n v="6503"/>
    <x v="14"/>
  </r>
  <r>
    <n v="256"/>
    <d v="2025-12-24T00:00:00"/>
    <s v="FW"/>
    <d v="1899-12-30T21:11:00"/>
    <s v="Wednesday"/>
    <s v="FINCH WEST FWLRT STATI"/>
    <s v="SXUEG"/>
    <n v="0"/>
    <n v="0"/>
    <s v="W"/>
    <n v="6514"/>
    <x v="42"/>
  </r>
  <r>
    <n v="257"/>
    <d v="2025-12-24T00:00:00"/>
    <s v="FW"/>
    <d v="1899-12-30T21:50:00"/>
    <s v="Wednesday"/>
    <s v="SENTINEL STOP"/>
    <s v="MXUS"/>
    <n v="15"/>
    <n v="29"/>
    <s v="E"/>
    <n v="6504"/>
    <x v="10"/>
  </r>
  <r>
    <n v="258"/>
    <d v="2025-12-25T00:00:00"/>
    <s v="FW"/>
    <d v="1899-12-30T11:25:00"/>
    <s v="Thursday"/>
    <s v="FINCH WEST FWLRT STATI"/>
    <s v="MXTO"/>
    <n v="5"/>
    <n v="15"/>
    <s v="W"/>
    <n v="6512"/>
    <x v="4"/>
  </r>
  <r>
    <n v="259"/>
    <d v="2025-12-25T00:00:00"/>
    <s v="FW"/>
    <d v="1899-12-30T12:31:00"/>
    <s v="Thursday"/>
    <s v="SENTINEL STOP"/>
    <s v="TXOVS"/>
    <n v="0"/>
    <n v="0"/>
    <s v="E"/>
    <n v="6501"/>
    <x v="14"/>
  </r>
  <r>
    <n v="260"/>
    <d v="2025-12-25T00:00:00"/>
    <s v="FW"/>
    <d v="1899-12-30T14:04:00"/>
    <s v="Thursday"/>
    <s v="TOBERMORY STOP"/>
    <s v="EXATC"/>
    <n v="0"/>
    <n v="0"/>
    <s v="E"/>
    <n v="6516"/>
    <x v="29"/>
  </r>
  <r>
    <n v="261"/>
    <d v="2025-12-25T00:00:00"/>
    <s v="FW"/>
    <d v="1899-12-30T19:29:00"/>
    <s v="Thursday"/>
    <s v="MOUNT OLIVE STOP"/>
    <s v="EXBO"/>
    <n v="5"/>
    <n v="15"/>
    <s v="W"/>
    <n v="6502"/>
    <x v="3"/>
  </r>
  <r>
    <n v="262"/>
    <d v="2025-12-25T00:00:00"/>
    <s v="FW"/>
    <d v="1899-12-30T20:30:00"/>
    <s v="Thursday"/>
    <s v="WESTMORE TO MILVAN RU"/>
    <s v="MXGD"/>
    <n v="0"/>
    <n v="0"/>
    <s v="None"/>
    <n v="0"/>
    <x v="47"/>
  </r>
  <r>
    <n v="263"/>
    <d v="2025-12-25T00:00:00"/>
    <s v="FW"/>
    <d v="1899-12-30T22:52:00"/>
    <s v="Thursday"/>
    <s v="FINCH WEST FWLRT STATI"/>
    <s v="MXO"/>
    <n v="0"/>
    <n v="0"/>
    <s v="None"/>
    <n v="0"/>
    <x v="8"/>
  </r>
  <r>
    <n v="264"/>
    <d v="2025-12-26T00:00:00"/>
    <s v="FW"/>
    <d v="1899-12-30T06:34:00"/>
    <s v="Friday"/>
    <s v="FINCH AVENUE AND HIGHW"/>
    <s v="MXAFR"/>
    <n v="114"/>
    <n v="124"/>
    <s v="W"/>
    <n v="6502"/>
    <x v="21"/>
  </r>
  <r>
    <n v="265"/>
    <d v="2025-12-26T00:00:00"/>
    <s v="FW"/>
    <d v="1899-12-30T07:28:00"/>
    <s v="Friday"/>
    <s v="JANE FWLRT STOP"/>
    <s v="TXNOA"/>
    <n v="10"/>
    <n v="20"/>
    <s v="E"/>
    <n v="0"/>
    <x v="48"/>
  </r>
  <r>
    <n v="266"/>
    <d v="2025-12-26T00:00:00"/>
    <s v="FW"/>
    <d v="1899-12-30T07:29:00"/>
    <s v="Friday"/>
    <s v="FINCH WEST TO SENTINEL"/>
    <s v="PXDCS"/>
    <n v="202"/>
    <n v="212"/>
    <s v="E"/>
    <n v="6511"/>
    <x v="34"/>
  </r>
  <r>
    <n v="267"/>
    <d v="2025-12-26T00:00:00"/>
    <s v="FW"/>
    <d v="1899-12-30T09:20:00"/>
    <s v="Friday"/>
    <s v="FINCH WEST FWLRT STATI"/>
    <s v="PXSW"/>
    <n v="10"/>
    <n v="20"/>
    <s v="None"/>
    <n v="0"/>
    <x v="17"/>
  </r>
  <r>
    <n v="268"/>
    <d v="2025-12-26T00:00:00"/>
    <s v="FW"/>
    <d v="1899-12-30T10:48:00"/>
    <s v="Friday"/>
    <s v="HUMBER COLLEGE STOP"/>
    <s v="PXSW"/>
    <n v="355"/>
    <n v="365"/>
    <s v="None"/>
    <n v="0"/>
    <x v="17"/>
  </r>
  <r>
    <n v="269"/>
    <d v="2025-12-26T00:00:00"/>
    <s v="FW"/>
    <d v="1899-12-30T11:20:00"/>
    <s v="Friday"/>
    <s v="FINCH WEST FWLRT STATI"/>
    <s v="EXAC"/>
    <n v="10"/>
    <n v="20"/>
    <s v="E"/>
    <n v="6511"/>
    <x v="15"/>
  </r>
  <r>
    <n v="270"/>
    <d v="2025-12-26T00:00:00"/>
    <s v="FW"/>
    <d v="1899-12-30T13:40:00"/>
    <s v="Friday"/>
    <s v="HUMBER COLLEGE STOP (A"/>
    <s v="EXO"/>
    <n v="122"/>
    <n v="132"/>
    <s v="W"/>
    <n v="6505"/>
    <x v="5"/>
  </r>
  <r>
    <n v="271"/>
    <d v="2025-12-26T00:00:00"/>
    <s v="FW"/>
    <d v="1899-12-30T14:45:00"/>
    <s v="Friday"/>
    <s v="SENTINAL STOP"/>
    <s v="EXWS"/>
    <n v="10"/>
    <n v="20"/>
    <s v="E"/>
    <n v="6503"/>
    <x v="49"/>
  </r>
  <r>
    <n v="272"/>
    <d v="2025-12-26T00:00:00"/>
    <s v="FW"/>
    <d v="1899-12-30T15:24:00"/>
    <s v="Friday"/>
    <s v="JANE FWLRT STOP"/>
    <s v="PXSW"/>
    <n v="78"/>
    <n v="89"/>
    <s v="W"/>
    <n v="6503"/>
    <x v="17"/>
  </r>
  <r>
    <n v="273"/>
    <d v="2025-12-26T00:00:00"/>
    <s v="FW"/>
    <d v="1899-12-30T15:59:00"/>
    <s v="Friday"/>
    <s v="HUMBER COLLEGE STOP"/>
    <s v="MXIS"/>
    <n v="0"/>
    <n v="0"/>
    <s v="None"/>
    <n v="0"/>
    <x v="9"/>
  </r>
  <r>
    <n v="274"/>
    <d v="2025-12-26T00:00:00"/>
    <s v="FW"/>
    <d v="1899-12-30T17:09:00"/>
    <s v="Friday"/>
    <s v="FINCH WEST FWLRT STATI"/>
    <s v="MXNOA"/>
    <n v="10"/>
    <n v="20"/>
    <s v="W"/>
    <n v="0"/>
    <x v="50"/>
  </r>
  <r>
    <n v="275"/>
    <d v="2025-12-26T00:00:00"/>
    <s v="FW"/>
    <d v="1899-12-30T17:22:00"/>
    <s v="Friday"/>
    <s v="YORKGATE"/>
    <s v="PXSW"/>
    <n v="0"/>
    <n v="0"/>
    <s v="W"/>
    <n v="0"/>
    <x v="17"/>
  </r>
  <r>
    <n v="276"/>
    <d v="2025-12-26T00:00:00"/>
    <s v="FW"/>
    <d v="1899-12-30T18:32:00"/>
    <s v="Friday"/>
    <s v="FINCH WEST FWLRT STATI"/>
    <s v="TXNOA"/>
    <n v="12"/>
    <n v="24"/>
    <s v="W"/>
    <n v="0"/>
    <x v="48"/>
  </r>
  <r>
    <n v="277"/>
    <d v="2025-12-26T00:00:00"/>
    <s v="FW"/>
    <d v="1899-12-30T00:12:00"/>
    <s v="Friday"/>
    <s v="YORKGATE"/>
    <s v="PXSW"/>
    <n v="0"/>
    <n v="0"/>
    <s v="None"/>
    <n v="0"/>
    <x v="17"/>
  </r>
  <r>
    <n v="278"/>
    <d v="2025-12-27T00:00:00"/>
    <s v="FW"/>
    <d v="1899-12-30T02:44:00"/>
    <s v="Friday"/>
    <s v="DUNCANWOODS STOP"/>
    <s v="PXSW"/>
    <n v="0"/>
    <n v="0"/>
    <s v="None"/>
    <n v="0"/>
    <x v="17"/>
  </r>
  <r>
    <n v="279"/>
    <d v="2025-12-27T00:00:00"/>
    <s v="FW"/>
    <d v="1899-12-30T02:58:00"/>
    <s v="Friday"/>
    <s v="YORKGATE BLVD"/>
    <s v="PXSW"/>
    <n v="0"/>
    <n v="0"/>
    <s v="E"/>
    <n v="0"/>
    <x v="17"/>
  </r>
  <r>
    <n v="280"/>
    <d v="2025-12-27T00:00:00"/>
    <s v="FW"/>
    <d v="1899-12-30T05:37:00"/>
    <s v="Friday"/>
    <s v="NORFINCH OAKDALE STOP"/>
    <s v="TXCL"/>
    <n v="5"/>
    <n v="19"/>
    <s v="W"/>
    <n v="6506"/>
    <x v="19"/>
  </r>
  <r>
    <n v="281"/>
    <d v="2025-12-27T00:00:00"/>
    <s v="FW"/>
    <d v="1899-12-30T06:32:00"/>
    <s v="Friday"/>
    <s v="FINCH WEST FWLRT STATI"/>
    <s v="SXUEG"/>
    <n v="7"/>
    <n v="22"/>
    <s v="E"/>
    <n v="6501"/>
    <x v="42"/>
  </r>
  <r>
    <n v="282"/>
    <d v="2025-12-27T00:00:00"/>
    <s v="FW"/>
    <d v="1899-12-30T08:05:00"/>
    <s v="Friday"/>
    <s v="HUMBER COLLEGE STOP"/>
    <s v="MXIE"/>
    <n v="0"/>
    <n v="0"/>
    <s v="None"/>
    <n v="0"/>
    <x v="25"/>
  </r>
  <r>
    <n v="283"/>
    <d v="2025-12-27T00:00:00"/>
    <s v="FW"/>
    <d v="1899-12-30T09:58:00"/>
    <s v="Friday"/>
    <s v="HUMBER COLLEGE STOP"/>
    <s v="EXBO"/>
    <n v="5"/>
    <n v="15"/>
    <s v="E"/>
    <n v="6502"/>
    <x v="3"/>
  </r>
  <r>
    <n v="284"/>
    <d v="2025-12-27T00:00:00"/>
    <s v="FW"/>
    <d v="1899-12-30T12:06:00"/>
    <s v="Friday"/>
    <s v="JANE AND FINCH"/>
    <s v="MXWEA"/>
    <n v="5"/>
    <n v="15"/>
    <s v="W"/>
    <n v="6505"/>
    <x v="51"/>
  </r>
  <r>
    <n v="285"/>
    <d v="2025-12-27T00:00:00"/>
    <s v="FW"/>
    <d v="1899-12-30T12:19:00"/>
    <s v="Friday"/>
    <s v="HUMBER COLLEGE STOP"/>
    <s v="MXO"/>
    <n v="3"/>
    <n v="13"/>
    <s v="W"/>
    <n v="6504"/>
    <x v="8"/>
  </r>
  <r>
    <n v="286"/>
    <d v="2025-12-27T00:00:00"/>
    <s v="FW"/>
    <d v="1899-12-30T17:49:00"/>
    <s v="Friday"/>
    <s v="DRIFTWOOD STOP"/>
    <s v="EXAC"/>
    <n v="0"/>
    <n v="0"/>
    <s v="W"/>
    <n v="6506"/>
    <x v="15"/>
  </r>
  <r>
    <n v="287"/>
    <d v="2025-12-27T00:00:00"/>
    <s v="FW"/>
    <d v="1899-12-30T20:06:00"/>
    <s v="Friday"/>
    <s v="HUMBER COLLEGE STOP"/>
    <s v="TXNIP"/>
    <n v="15"/>
    <n v="27"/>
    <s v="None"/>
    <n v="6501"/>
    <x v="13"/>
  </r>
  <r>
    <n v="288"/>
    <d v="2025-12-27T00:00:00"/>
    <s v="FW"/>
    <d v="1899-12-30T20:29:00"/>
    <s v="Friday"/>
    <s v="HUMBER COLLEGE STOP"/>
    <s v="EXGA"/>
    <n v="0"/>
    <n v="0"/>
    <s v="None"/>
    <n v="0"/>
    <x v="27"/>
  </r>
  <r>
    <n v="289"/>
    <d v="2025-12-27T00:00:00"/>
    <s v="FW"/>
    <d v="1899-12-30T01:43:00"/>
    <s v="Friday"/>
    <s v="DUNCANWOODS STOP"/>
    <s v="PXSW"/>
    <n v="0"/>
    <n v="0"/>
    <s v="E"/>
    <n v="0"/>
    <x v="17"/>
  </r>
  <r>
    <n v="290"/>
    <d v="2025-12-28T00:00:00"/>
    <s v="FW"/>
    <d v="1899-12-30T08:47:00"/>
    <s v="Sunday"/>
    <s v="FINCH WEST FWLRT STATI"/>
    <s v="EXAC"/>
    <n v="7"/>
    <n v="17"/>
    <s v="W"/>
    <n v="6506"/>
    <x v="15"/>
  </r>
  <r>
    <n v="291"/>
    <d v="2025-12-28T00:00:00"/>
    <s v="FW"/>
    <d v="1899-12-30T08:49:00"/>
    <s v="Sunday"/>
    <s v="FINCH WEST FWLRT STATI"/>
    <s v="EXAC"/>
    <n v="10"/>
    <n v="20"/>
    <s v="None"/>
    <n v="6515"/>
    <x v="15"/>
  </r>
  <r>
    <n v="292"/>
    <d v="2025-12-28T00:00:00"/>
    <s v="FW"/>
    <d v="1899-12-30T09:01:00"/>
    <s v="Sunday"/>
    <s v="HUMBER COLLEGE STOP"/>
    <s v="PXSW"/>
    <n v="10"/>
    <n v="20"/>
    <s v="E"/>
    <n v="6504"/>
    <x v="17"/>
  </r>
  <r>
    <n v="293"/>
    <d v="2025-12-28T00:00:00"/>
    <s v="FW"/>
    <d v="1899-12-30T09:14:00"/>
    <s v="Sunday"/>
    <s v="DRIFTWOOD STOP"/>
    <s v="EXBK"/>
    <n v="3"/>
    <n v="13"/>
    <s v="E"/>
    <n v="6501"/>
    <x v="2"/>
  </r>
  <r>
    <n v="294"/>
    <d v="2025-12-28T00:00:00"/>
    <s v="FW"/>
    <d v="1899-12-30T09:59:00"/>
    <s v="Sunday"/>
    <s v="HUMBER COLLEGE STOP"/>
    <s v="PXSW"/>
    <n v="10"/>
    <n v="20"/>
    <s v="W"/>
    <n v="6513"/>
    <x v="17"/>
  </r>
  <r>
    <n v="295"/>
    <d v="2025-12-28T00:00:00"/>
    <s v="FW"/>
    <d v="1899-12-30T10:16:00"/>
    <s v="Sunday"/>
    <s v="FINCH WEST FWLRT STATI"/>
    <s v="TXO"/>
    <n v="3"/>
    <n v="13"/>
    <s v="W"/>
    <n v="6514"/>
    <x v="6"/>
  </r>
  <r>
    <n v="296"/>
    <d v="2025-12-28T00:00:00"/>
    <s v="FW"/>
    <d v="1899-12-30T10:35:00"/>
    <s v="Sunday"/>
    <s v="ROWNTREE MILLS STOP"/>
    <s v="MXIRS"/>
    <n v="5"/>
    <n v="15"/>
    <s v="E"/>
    <n v="6501"/>
    <x v="52"/>
  </r>
  <r>
    <n v="297"/>
    <d v="2025-12-28T00:00:00"/>
    <s v="FW"/>
    <d v="1899-12-30T11:20:00"/>
    <s v="Sunday"/>
    <s v="FINCH WEST FWLRT STATI"/>
    <s v="EXBK"/>
    <n v="10"/>
    <n v="20"/>
    <s v="W"/>
    <n v="6501"/>
    <x v="2"/>
  </r>
  <r>
    <n v="298"/>
    <d v="2025-12-28T00:00:00"/>
    <s v="FW"/>
    <d v="1899-12-30T14:30:00"/>
    <s v="Sunday"/>
    <s v="FINCH WEST FWLRT STATI"/>
    <s v="EXO"/>
    <n v="10"/>
    <n v="20"/>
    <s v="E"/>
    <n v="6515"/>
    <x v="5"/>
  </r>
  <r>
    <n v="299"/>
    <d v="2025-12-28T00:00:00"/>
    <s v="FW"/>
    <d v="1899-12-30T14:37:00"/>
    <s v="Sunday"/>
    <s v="FINCH WEST FWLRT STATI"/>
    <s v="EXAC"/>
    <n v="10"/>
    <n v="20"/>
    <s v="W"/>
    <n v="6507"/>
    <x v="15"/>
  </r>
  <r>
    <n v="300"/>
    <d v="2025-12-28T00:00:00"/>
    <s v="FW"/>
    <d v="1899-12-30T18:16:00"/>
    <s v="Sunday"/>
    <s v="WESTMORE STOP"/>
    <s v="EXO"/>
    <n v="0"/>
    <n v="0"/>
    <s v="W"/>
    <n v="6515"/>
    <x v="5"/>
  </r>
  <r>
    <n v="301"/>
    <d v="2025-12-28T00:00:00"/>
    <s v="FW"/>
    <d v="1899-12-30T18:34:00"/>
    <s v="Sunday"/>
    <s v="JANE FWLRT STOP"/>
    <s v="EXO"/>
    <n v="10"/>
    <n v="20"/>
    <s v="W"/>
    <n v="6516"/>
    <x v="5"/>
  </r>
  <r>
    <n v="302"/>
    <d v="2025-12-28T00:00:00"/>
    <s v="FW"/>
    <d v="1899-12-30T19:30:00"/>
    <s v="Sunday"/>
    <s v="HUMBER COLLEGE STOP"/>
    <s v="MXPLC"/>
    <n v="186"/>
    <n v="198"/>
    <s v="W"/>
    <n v="6504"/>
    <x v="53"/>
  </r>
  <r>
    <n v="303"/>
    <d v="2025-12-28T00:00:00"/>
    <s v="FW"/>
    <d v="1899-12-30T19:55:00"/>
    <s v="Sunday"/>
    <s v="ROWNTREE MILLS STOP"/>
    <s v="EXAC"/>
    <n v="12"/>
    <n v="24"/>
    <s v="W"/>
    <n v="6504"/>
    <x v="15"/>
  </r>
  <r>
    <n v="304"/>
    <d v="2025-12-28T00:00:00"/>
    <s v="FW"/>
    <d v="1899-12-30T20:48:00"/>
    <s v="Sunday"/>
    <s v="FINCH WEST FWLRT STATI"/>
    <s v="EXCE"/>
    <n v="12"/>
    <n v="22"/>
    <s v="W"/>
    <n v="6501"/>
    <x v="26"/>
  </r>
  <r>
    <n v="305"/>
    <d v="2025-12-28T00:00:00"/>
    <s v="FW"/>
    <d v="1899-12-30T22:54:00"/>
    <s v="Sunday"/>
    <s v="TOBERMORY STOP"/>
    <s v="TXOVS"/>
    <n v="0"/>
    <n v="0"/>
    <s v="W"/>
    <n v="6513"/>
    <x v="14"/>
  </r>
  <r>
    <n v="306"/>
    <d v="2025-12-28T00:00:00"/>
    <s v="FW"/>
    <d v="1899-12-30T23:04:00"/>
    <s v="Sunday"/>
    <s v="JANE FWLRT STOP"/>
    <s v="TXOVS"/>
    <n v="0"/>
    <n v="0"/>
    <s v="W"/>
    <n v="6504"/>
    <x v="14"/>
  </r>
  <r>
    <n v="307"/>
    <d v="2025-12-29T00:00:00"/>
    <s v="FW"/>
    <d v="1899-12-30T06:30:00"/>
    <s v="Monday"/>
    <s v="TOBERMORY STOP"/>
    <s v="EXTM"/>
    <n v="4"/>
    <n v="14"/>
    <s v="W"/>
    <n v="6505"/>
    <x v="1"/>
  </r>
  <r>
    <n v="308"/>
    <d v="2025-12-29T00:00:00"/>
    <s v="FW"/>
    <d v="1899-12-30T06:47:00"/>
    <s v="Monday"/>
    <s v="TOBERMORY STOP"/>
    <s v="EXTM"/>
    <n v="4"/>
    <n v="14"/>
    <s v="W"/>
    <n v="6504"/>
    <x v="1"/>
  </r>
  <r>
    <n v="309"/>
    <d v="2025-12-29T00:00:00"/>
    <s v="FW"/>
    <d v="1899-12-30T07:37:00"/>
    <s v="Monday"/>
    <s v="ALBION STOP"/>
    <s v="EXBO"/>
    <n v="0"/>
    <n v="0"/>
    <s v="W"/>
    <n v="6515"/>
    <x v="3"/>
  </r>
  <r>
    <n v="310"/>
    <d v="2025-12-29T00:00:00"/>
    <s v="FW"/>
    <d v="1899-12-30T10:37:00"/>
    <s v="Monday"/>
    <s v="MILVAN RUMIKE STOP"/>
    <s v="EXTM"/>
    <n v="0"/>
    <n v="0"/>
    <s v="E"/>
    <n v="6503"/>
    <x v="1"/>
  </r>
  <r>
    <n v="311"/>
    <d v="2025-12-29T00:00:00"/>
    <s v="FW"/>
    <d v="1899-12-30T14:08:00"/>
    <s v="Monday"/>
    <s v="MOUNT OLIVE STOP"/>
    <s v="EXDO"/>
    <n v="3"/>
    <n v="13"/>
    <s v="W"/>
    <n v="6507"/>
    <x v="11"/>
  </r>
  <r>
    <n v="312"/>
    <d v="2025-12-29T00:00:00"/>
    <s v="FW"/>
    <d v="1899-12-30T15:08:00"/>
    <s v="Monday"/>
    <s v="NORFINCH OAKDALE STOP"/>
    <s v="EXYRD"/>
    <n v="17"/>
    <n v="24"/>
    <s v="W"/>
    <n v="6511"/>
    <x v="38"/>
  </r>
  <r>
    <n v="313"/>
    <d v="2025-12-29T00:00:00"/>
    <s v="FW"/>
    <d v="1899-12-30T15:23:00"/>
    <s v="Monday"/>
    <s v="KENNEDY STATION"/>
    <s v="MXTO"/>
    <n v="8"/>
    <n v="14"/>
    <s v="W"/>
    <n v="6237"/>
    <x v="4"/>
  </r>
  <r>
    <n v="314"/>
    <d v="2025-12-29T00:00:00"/>
    <s v="FW"/>
    <d v="1899-12-30T17:51:00"/>
    <s v="Monday"/>
    <s v="HUMBER COLLEGE STOP"/>
    <s v="PXSW"/>
    <n v="0"/>
    <n v="0"/>
    <s v="E"/>
    <n v="6516"/>
    <x v="17"/>
  </r>
  <r>
    <n v="315"/>
    <d v="2025-12-29T00:00:00"/>
    <s v="FW"/>
    <d v="1899-12-30T19:07:00"/>
    <s v="Monday"/>
    <s v="YORK GATE"/>
    <s v="PXSW"/>
    <n v="0"/>
    <n v="0"/>
    <s v="None"/>
    <n v="6509"/>
    <x v="17"/>
  </r>
  <r>
    <n v="316"/>
    <d v="2025-12-29T00:00:00"/>
    <s v="FW"/>
    <d v="1899-12-30T19:21:00"/>
    <s v="Monday"/>
    <s v="ROWNTREE MILLS STOP"/>
    <s v="EXO"/>
    <n v="10"/>
    <n v="20"/>
    <s v="W"/>
    <n v="6507"/>
    <x v="5"/>
  </r>
  <r>
    <n v="317"/>
    <d v="2025-12-29T00:00:00"/>
    <s v="FW"/>
    <d v="1899-12-30T21:04:00"/>
    <s v="Monday"/>
    <s v="FINCH WEST FWLRT STATI"/>
    <s v="EXO"/>
    <n v="13"/>
    <n v="20"/>
    <s v="W"/>
    <n v="6515"/>
    <x v="5"/>
  </r>
  <r>
    <n v="318"/>
    <d v="2025-12-29T00:00:00"/>
    <s v="FW"/>
    <d v="1899-12-30T21:12:00"/>
    <s v="Monday"/>
    <s v="FINCH WEST STATION CRO"/>
    <s v="PXSW"/>
    <n v="0"/>
    <n v="0"/>
    <s v="E"/>
    <n v="6507"/>
    <x v="17"/>
  </r>
  <r>
    <n v="319"/>
    <d v="2025-12-30T00:00:00"/>
    <s v="FW"/>
    <d v="1899-12-30T05:31:00"/>
    <s v="Tuesday"/>
    <s v="DRIFTWOOD STOP"/>
    <s v="EXBK"/>
    <n v="0"/>
    <n v="0"/>
    <s v="W"/>
    <n v="6501"/>
    <x v="2"/>
  </r>
  <r>
    <n v="320"/>
    <d v="2025-12-30T00:00:00"/>
    <s v="FW"/>
    <d v="1899-12-30T06:59:00"/>
    <s v="Tuesday"/>
    <s v="ROWNTREE MILLS STOP"/>
    <s v="EXBK"/>
    <n v="0"/>
    <n v="0"/>
    <s v="W"/>
    <n v="6502"/>
    <x v="2"/>
  </r>
  <r>
    <n v="321"/>
    <d v="2025-12-30T00:00:00"/>
    <s v="FW"/>
    <d v="1899-12-30T07:04:00"/>
    <s v="Tuesday"/>
    <s v="ALBION STOP"/>
    <s v="EXBK"/>
    <n v="0"/>
    <n v="0"/>
    <s v="E"/>
    <n v="6507"/>
    <x v="2"/>
  </r>
  <r>
    <n v="322"/>
    <d v="2025-12-30T00:00:00"/>
    <s v="FW"/>
    <d v="1899-12-30T11:35:00"/>
    <s v="Tuesday"/>
    <s v="WESTMORE STOP"/>
    <s v="EXBK"/>
    <n v="11"/>
    <n v="21"/>
    <s v="E"/>
    <n v="6504"/>
    <x v="2"/>
  </r>
  <r>
    <n v="323"/>
    <d v="2025-12-30T00:00:00"/>
    <s v="FW"/>
    <d v="1899-12-30T19:00:00"/>
    <s v="Tuesday"/>
    <s v="EMERY STOP"/>
    <s v="EXDO"/>
    <n v="5"/>
    <n v="11"/>
    <s v="E"/>
    <n v="6511"/>
    <x v="11"/>
  </r>
  <r>
    <n v="324"/>
    <d v="2025-12-30T00:00:00"/>
    <s v="FW"/>
    <d v="1899-12-30T20:37:00"/>
    <s v="Tuesday"/>
    <s v="DRIFTWOOD STOP"/>
    <s v="EXO"/>
    <n v="10"/>
    <n v="22"/>
    <s v="E"/>
    <n v="6506"/>
    <x v="5"/>
  </r>
  <r>
    <n v="325"/>
    <d v="2025-12-30T00:00:00"/>
    <s v="FW"/>
    <d v="1899-12-30T20:49:00"/>
    <s v="Tuesday"/>
    <s v="DRIFTWOOD STOP"/>
    <s v="EXBK"/>
    <n v="0"/>
    <n v="0"/>
    <s v="W"/>
    <n v="6514"/>
    <x v="2"/>
  </r>
  <r>
    <n v="326"/>
    <d v="2025-12-30T00:00:00"/>
    <s v="FW"/>
    <d v="1899-12-30T21:33:00"/>
    <s v="Tuesday"/>
    <s v="STEVENSON STOP"/>
    <s v="TXO"/>
    <n v="14"/>
    <n v="26"/>
    <s v="E"/>
    <n v="6507"/>
    <x v="6"/>
  </r>
  <r>
    <n v="327"/>
    <d v="2025-12-31T00:00:00"/>
    <s v="FW"/>
    <d v="1899-12-30T05:51:00"/>
    <s v="Wednesday"/>
    <s v="FINCH WEST FWLRT STATI"/>
    <s v="EXBK"/>
    <n v="0"/>
    <n v="0"/>
    <s v="W"/>
    <n v="6500"/>
    <x v="2"/>
  </r>
  <r>
    <n v="328"/>
    <d v="2025-12-31T00:00:00"/>
    <s v="FW"/>
    <d v="1899-12-30T07:13:00"/>
    <s v="Wednesday"/>
    <s v="HUMBER COLLEGE STOP"/>
    <s v="PXSW"/>
    <n v="5"/>
    <n v="20"/>
    <s v="W"/>
    <n v="0"/>
    <x v="17"/>
  </r>
  <r>
    <n v="329"/>
    <d v="2025-12-31T00:00:00"/>
    <s v="FW"/>
    <d v="1899-12-30T07:26:00"/>
    <s v="Wednesday"/>
    <s v="ALBION STOP"/>
    <s v="TXOS"/>
    <n v="17"/>
    <n v="23"/>
    <s v="W"/>
    <n v="6508"/>
    <x v="7"/>
  </r>
  <r>
    <n v="330"/>
    <d v="2025-12-31T00:00:00"/>
    <s v="FW"/>
    <d v="1899-12-30T07:38:00"/>
    <s v="Wednesday"/>
    <s v="ALBION STOP"/>
    <s v="TXO"/>
    <n v="8"/>
    <n v="14"/>
    <s v="E"/>
    <n v="6511"/>
    <x v="6"/>
  </r>
  <r>
    <n v="331"/>
    <d v="2025-12-31T00:00:00"/>
    <s v="FW"/>
    <d v="1899-12-30T07:48:00"/>
    <s v="Wednesday"/>
    <s v="JANE FWLRT STOP"/>
    <s v="EXTM"/>
    <n v="3"/>
    <n v="9"/>
    <s v="W"/>
    <n v="6501"/>
    <x v="1"/>
  </r>
  <r>
    <n v="332"/>
    <d v="2025-12-31T00:00:00"/>
    <s v="FW"/>
    <d v="1899-12-30T09:05:00"/>
    <s v="Wednesday"/>
    <s v="SIGNET ARROW STOP"/>
    <s v="MXWEA"/>
    <n v="3"/>
    <n v="9"/>
    <s v="W"/>
    <n v="6513"/>
    <x v="51"/>
  </r>
  <r>
    <n v="333"/>
    <d v="2025-12-31T00:00:00"/>
    <s v="FW"/>
    <d v="1899-12-30T09:17:00"/>
    <s v="Wednesday"/>
    <s v="HUMBER COLLEGE"/>
    <s v="EXWA"/>
    <n v="6"/>
    <n v="12"/>
    <s v="W"/>
    <n v="6506"/>
    <x v="54"/>
  </r>
  <r>
    <n v="334"/>
    <d v="2025-12-31T00:00:00"/>
    <s v="FW"/>
    <d v="1899-12-30T09:32:00"/>
    <s v="Wednesday"/>
    <s v="ALBION STOP"/>
    <s v="MXWEA"/>
    <n v="3"/>
    <n v="9"/>
    <s v="W"/>
    <n v="6503"/>
    <x v="51"/>
  </r>
  <r>
    <n v="335"/>
    <d v="2025-12-31T00:00:00"/>
    <s v="FW"/>
    <d v="1899-12-30T11:35:00"/>
    <s v="Wednesday"/>
    <s v="WESTMORE STOP"/>
    <s v="MXWEA"/>
    <n v="9"/>
    <n v="16"/>
    <s v="E"/>
    <n v="6503"/>
    <x v="51"/>
  </r>
  <r>
    <n v="336"/>
    <d v="2025-12-31T00:00:00"/>
    <s v="FW"/>
    <d v="1899-12-30T12:05:00"/>
    <s v="Wednesday"/>
    <s v="SENTINEL STOP"/>
    <s v="EXTR"/>
    <n v="5"/>
    <n v="15"/>
    <s v="W"/>
    <n v="6515"/>
    <x v="32"/>
  </r>
  <r>
    <n v="337"/>
    <d v="2025-12-31T00:00:00"/>
    <s v="FW"/>
    <d v="1899-12-30T12:17:00"/>
    <s v="Wednesday"/>
    <s v="EMERY STOP"/>
    <s v="MXWEA"/>
    <n v="4"/>
    <n v="10"/>
    <s v="W"/>
    <n v="6513"/>
    <x v="51"/>
  </r>
  <r>
    <n v="338"/>
    <d v="2025-12-31T00:00:00"/>
    <s v="FW"/>
    <d v="1899-12-30T12:38:00"/>
    <s v="Wednesday"/>
    <s v="MILVAN RUMIKE STOP"/>
    <s v="MXWEA"/>
    <n v="4"/>
    <n v="14"/>
    <s v="W"/>
    <n v="6513"/>
    <x v="51"/>
  </r>
  <r>
    <n v="339"/>
    <d v="2025-12-31T00:00:00"/>
    <s v="FW"/>
    <d v="1899-12-30T13:29:00"/>
    <s v="Wednesday"/>
    <s v="SENTINEL STOP"/>
    <s v="MXD"/>
    <n v="4"/>
    <n v="14"/>
    <s v="W"/>
    <n v="6511"/>
    <x v="44"/>
  </r>
  <r>
    <n v="340"/>
    <d v="2025-12-31T00:00:00"/>
    <s v="FW"/>
    <d v="1899-12-30T13:29:00"/>
    <s v="Wednesday"/>
    <s v="JANE FWLRT STOP"/>
    <s v="MXWEA"/>
    <n v="4"/>
    <n v="14"/>
    <s v="E"/>
    <n v="6515"/>
    <x v="51"/>
  </r>
  <r>
    <n v="341"/>
    <d v="2025-12-31T00:00:00"/>
    <s v="FW"/>
    <d v="1899-12-30T13:43:00"/>
    <s v="Wednesday"/>
    <s v="HUMBER COLLEGE STOP"/>
    <s v="MXUS"/>
    <n v="4"/>
    <n v="14"/>
    <s v="None"/>
    <n v="6516"/>
    <x v="10"/>
  </r>
  <r>
    <n v="342"/>
    <d v="2025-12-31T00:00:00"/>
    <s v="FW"/>
    <d v="1899-12-30T15:06:00"/>
    <s v="Wednesday"/>
    <s v="NORFINCH OAKDALE STOP"/>
    <s v="MXWEA"/>
    <n v="4"/>
    <n v="14"/>
    <s v="E"/>
    <n v="6504"/>
    <x v="51"/>
  </r>
  <r>
    <n v="343"/>
    <d v="2025-12-31T00:00:00"/>
    <s v="FW"/>
    <d v="1899-12-30T17:06:00"/>
    <s v="Wednesday"/>
    <s v="HUMBER COLLEGE STOP"/>
    <s v="EXAC"/>
    <n v="6"/>
    <n v="12"/>
    <s v="W"/>
    <n v="6503"/>
    <x v="15"/>
  </r>
  <r>
    <n v="344"/>
    <d v="2025-12-31T00:00:00"/>
    <s v="FW"/>
    <d v="1899-12-30T17:27:00"/>
    <s v="Wednesday"/>
    <s v="SIGNET ARROW STOP"/>
    <s v="EXSA"/>
    <n v="6"/>
    <n v="12"/>
    <s v="E"/>
    <n v="6502"/>
    <x v="30"/>
  </r>
  <r>
    <n v="345"/>
    <d v="2025-12-31T00:00:00"/>
    <s v="FW"/>
    <d v="1899-12-30T17:55:00"/>
    <s v="Wednesday"/>
    <s v="MOUNT OLIVE STOP"/>
    <s v="TXOVS"/>
    <n v="0"/>
    <n v="0"/>
    <s v="E"/>
    <n v="6509"/>
    <x v="14"/>
  </r>
  <r>
    <n v="346"/>
    <d v="2025-12-31T00:00:00"/>
    <s v="FW"/>
    <d v="1899-12-30T18:19:00"/>
    <s v="Wednesday"/>
    <s v="MARTIN GROVE STOP"/>
    <s v="EXAC"/>
    <n v="4"/>
    <n v="14"/>
    <s v="W"/>
    <n v="6512"/>
    <x v="15"/>
  </r>
  <r>
    <n v="347"/>
    <d v="2025-12-31T00:00:00"/>
    <s v="FW"/>
    <d v="1899-12-30T19:09:00"/>
    <s v="Wednesday"/>
    <s v="SIGNET ARROW STOP"/>
    <s v="MXWEA"/>
    <n v="4"/>
    <n v="14"/>
    <s v="E"/>
    <n v="6513"/>
    <x v="51"/>
  </r>
  <r>
    <n v="348"/>
    <d v="2025-12-31T00:00:00"/>
    <s v="FW"/>
    <d v="1899-12-30T19:11:00"/>
    <s v="Wednesday"/>
    <s v="EMERY STOP"/>
    <s v="MXD"/>
    <n v="4"/>
    <n v="14"/>
    <s v="W"/>
    <n v="6501"/>
    <x v="44"/>
  </r>
  <r>
    <n v="349"/>
    <d v="2025-12-31T00:00:00"/>
    <s v="FW"/>
    <d v="1899-12-30T21:02:00"/>
    <s v="Wednesday"/>
    <s v="SENTINEL STOP"/>
    <s v="EXBK"/>
    <n v="4"/>
    <n v="14"/>
    <s v="E"/>
    <n v="6504"/>
    <x v="2"/>
  </r>
  <r>
    <n v="350"/>
    <d v="2025-12-31T00:00:00"/>
    <s v="FW"/>
    <d v="1899-12-30T22:37:00"/>
    <s v="Wednesday"/>
    <s v="NORFINCH OAKDALE STOP"/>
    <s v="EXBK"/>
    <n v="0"/>
    <n v="0"/>
    <s v="E"/>
    <n v="6504"/>
    <x v="2"/>
  </r>
  <r>
    <m/>
    <m/>
    <m/>
    <m/>
    <m/>
    <m/>
    <m/>
    <m/>
    <m/>
    <m/>
    <m/>
    <x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3D454-714F-7B42-8141-B9DAE4501FB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57">
        <item x="21"/>
        <item x="3"/>
        <item x="2"/>
        <item x="26"/>
        <item x="34"/>
        <item x="36"/>
        <item x="33"/>
        <item x="44"/>
        <item x="11"/>
        <item x="0"/>
        <item x="35"/>
        <item x="31"/>
        <item x="40"/>
        <item x="5"/>
        <item x="53"/>
        <item x="27"/>
        <item x="22"/>
        <item x="15"/>
        <item x="20"/>
        <item x="25"/>
        <item x="52"/>
        <item x="9"/>
        <item x="43"/>
        <item x="47"/>
        <item x="8"/>
        <item x="4"/>
        <item x="24"/>
        <item x="48"/>
        <item x="50"/>
        <item x="13"/>
        <item x="7"/>
        <item x="14"/>
        <item x="29"/>
        <item x="30"/>
        <item x="37"/>
        <item x="18"/>
        <item x="23"/>
        <item x="45"/>
        <item x="41"/>
        <item x="46"/>
        <item x="17"/>
        <item x="1"/>
        <item x="16"/>
        <item x="28"/>
        <item x="6"/>
        <item x="32"/>
        <item x="10"/>
        <item x="39"/>
        <item x="42"/>
        <item x="19"/>
        <item x="54"/>
        <item x="51"/>
        <item x="49"/>
        <item x="12"/>
        <item x="38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11">
    <i>
      <x v="13"/>
    </i>
    <i>
      <x v="2"/>
    </i>
    <i>
      <x v="40"/>
    </i>
    <i>
      <x v="31"/>
    </i>
    <i>
      <x v="17"/>
    </i>
    <i>
      <x v="41"/>
    </i>
    <i>
      <x v="44"/>
    </i>
    <i>
      <x v="25"/>
    </i>
    <i>
      <x v="46"/>
    </i>
    <i>
      <x v="26"/>
    </i>
    <i t="grand">
      <x/>
    </i>
  </rowItems>
  <colItems count="1">
    <i/>
  </colItems>
  <dataFields count="1">
    <dataField name="Count of Description" fld="1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FD8629-604C-FC40-A821-9B5182A51DE9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1" name="_id" tableColumnId="1"/>
      <queryTableField id="2" name="Date" tableColumnId="2"/>
      <queryTableField id="3" name="Line" tableColumnId="3"/>
      <queryTableField id="4" name="Time" tableColumnId="4"/>
      <queryTableField id="5" name="Day" tableColumnId="5"/>
      <queryTableField id="6" name="Station" tableColumnId="6"/>
      <queryTableField id="7" name="Code" tableColumnId="7"/>
      <queryTableField id="8" name="Min Delay" tableColumnId="8"/>
      <queryTableField id="9" name="Min Gap" tableColumnId="9"/>
      <queryTableField id="10" name="Bound" tableColumnId="10"/>
      <queryTableField id="11" name="Vehicle" tableColumnId="11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418F5D8-72C2-0A4D-AF52-CC36E0A5EDB1}" autoFormatId="16" applyNumberFormats="0" applyBorderFormats="0" applyFontFormats="0" applyPatternFormats="0" applyAlignmentFormats="0" applyWidthHeightFormats="0">
  <queryTableRefresh nextId="4">
    <queryTableFields count="3">
      <queryTableField id="1" name="_id" tableColumnId="1"/>
      <queryTableField id="2" name="CODE" tableColumnId="2"/>
      <queryTableField id="3" name="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1DD37-BFFE-2E48-8777-8A8422DEE0E1}" name="TTC_LRT_Delays_1" displayName="TTC_LRT_Delays_1" ref="A1:L351" tableType="queryTable" totalsRowShown="0">
  <autoFilter ref="A1:L351" xr:uid="{3121DD37-BFFE-2E48-8777-8A8422DEE0E1}"/>
  <tableColumns count="12">
    <tableColumn id="1" xr3:uid="{B3D8B765-C176-0941-BD8F-3752CBF5C3A2}" uniqueName="1" name="_id" queryTableFieldId="1"/>
    <tableColumn id="2" xr3:uid="{961C1FC2-3EE7-2740-9A13-368182218A38}" uniqueName="2" name="Date" queryTableFieldId="2" dataDxfId="8"/>
    <tableColumn id="3" xr3:uid="{084F1595-945B-D148-9E1E-7F06852F8088}" uniqueName="3" name="Line" queryTableFieldId="3" dataDxfId="7"/>
    <tableColumn id="4" xr3:uid="{E7F4176D-A438-6E4D-BD0C-BF13CF2A6F10}" uniqueName="4" name="Time" queryTableFieldId="4" dataDxfId="6"/>
    <tableColumn id="5" xr3:uid="{7B1F60D9-83EA-CB42-9DC4-3BA7B86C4A46}" uniqueName="5" name="Day" queryTableFieldId="5" dataDxfId="5"/>
    <tableColumn id="6" xr3:uid="{211A6B6F-33D6-8342-AC52-412E294E5304}" uniqueName="6" name="Station" queryTableFieldId="6" dataDxfId="4"/>
    <tableColumn id="7" xr3:uid="{EEE85608-8A4B-F145-B454-DD2ECE650284}" uniqueName="7" name="Code" queryTableFieldId="7" dataDxfId="3"/>
    <tableColumn id="8" xr3:uid="{36C0EA84-45C3-1146-8A32-58ABEA7C0306}" uniqueName="8" name="Min Delay" queryTableFieldId="8"/>
    <tableColumn id="9" xr3:uid="{ABF2E04C-4316-CF49-9AE0-63B3D339676D}" uniqueName="9" name="Min Gap" queryTableFieldId="9"/>
    <tableColumn id="10" xr3:uid="{7A6857DB-BA99-544D-A71E-3E9D3E119FC1}" uniqueName="10" name="Bound" queryTableFieldId="10" dataDxfId="2"/>
    <tableColumn id="11" xr3:uid="{7BB48BD6-1548-E24F-AE8A-67CE6EA77D26}" uniqueName="11" name="Vehicle" queryTableFieldId="11"/>
    <tableColumn id="13" xr3:uid="{7F88A441-0A12-E445-B106-252A17FC9CCE}" uniqueName="13" name="Description" queryTableFieldId="13">
      <calculatedColumnFormula>_xlfn.XLOOKUP(G2, CodeDescriptions!B:B, CodeDescriptions!C:C, "Unknown")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623411-9993-094F-9503-236A05D19C48}" name="Code_Descriptions" displayName="Code_Descriptions" ref="A1:C131" tableType="queryTable" totalsRowShown="0">
  <autoFilter ref="A1:C131" xr:uid="{9D623411-9993-094F-9503-236A05D19C48}"/>
  <tableColumns count="3">
    <tableColumn id="1" xr3:uid="{AF33C1C9-8432-104E-987A-4CF6C51FC2CC}" uniqueName="1" name="_id" queryTableFieldId="1"/>
    <tableColumn id="2" xr3:uid="{373713F5-1AC2-1743-9AF5-4D9269BEDBA8}" uniqueName="2" name="CODE" queryTableFieldId="2" dataDxfId="1"/>
    <tableColumn id="3" xr3:uid="{E3ED42AA-14E4-D241-8B19-899E0F578972}" uniqueName="3" name="DESCRIP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E6F4-D1E3-BE4A-8263-59AF760C1971}">
  <dimension ref="A3:B14"/>
  <sheetViews>
    <sheetView tabSelected="1" workbookViewId="0">
      <selection activeCell="G26" sqref="G26"/>
    </sheetView>
  </sheetViews>
  <sheetFormatPr baseColWidth="10" defaultRowHeight="16" x14ac:dyDescent="0.2"/>
  <cols>
    <col min="1" max="1" width="64.1640625" bestFit="1" customWidth="1"/>
    <col min="2" max="2" width="18.33203125" bestFit="1" customWidth="1"/>
  </cols>
  <sheetData>
    <row r="3" spans="1:2" x14ac:dyDescent="0.2">
      <c r="A3" s="4" t="s">
        <v>342</v>
      </c>
      <c r="B3" t="s">
        <v>344</v>
      </c>
    </row>
    <row r="4" spans="1:2" x14ac:dyDescent="0.2">
      <c r="A4" s="5" t="s">
        <v>163</v>
      </c>
      <c r="B4" s="2">
        <v>56</v>
      </c>
    </row>
    <row r="5" spans="1:2" x14ac:dyDescent="0.2">
      <c r="A5" s="5" t="s">
        <v>143</v>
      </c>
      <c r="B5" s="2">
        <v>25</v>
      </c>
    </row>
    <row r="6" spans="1:2" x14ac:dyDescent="0.2">
      <c r="A6" s="5" t="s">
        <v>276</v>
      </c>
      <c r="B6" s="2">
        <v>24</v>
      </c>
    </row>
    <row r="7" spans="1:2" x14ac:dyDescent="0.2">
      <c r="A7" s="5" t="s">
        <v>332</v>
      </c>
      <c r="B7" s="2">
        <v>24</v>
      </c>
    </row>
    <row r="8" spans="1:2" x14ac:dyDescent="0.2">
      <c r="A8" s="5" t="s">
        <v>139</v>
      </c>
      <c r="B8" s="2">
        <v>23</v>
      </c>
    </row>
    <row r="9" spans="1:2" x14ac:dyDescent="0.2">
      <c r="A9" s="5" t="s">
        <v>177</v>
      </c>
      <c r="B9" s="2">
        <v>15</v>
      </c>
    </row>
    <row r="10" spans="1:2" x14ac:dyDescent="0.2">
      <c r="A10" s="5" t="s">
        <v>328</v>
      </c>
      <c r="B10" s="2">
        <v>14</v>
      </c>
    </row>
    <row r="11" spans="1:2" x14ac:dyDescent="0.2">
      <c r="A11" s="5" t="s">
        <v>238</v>
      </c>
      <c r="B11" s="2">
        <v>14</v>
      </c>
    </row>
    <row r="12" spans="1:2" x14ac:dyDescent="0.2">
      <c r="A12" s="5" t="s">
        <v>239</v>
      </c>
      <c r="B12" s="2">
        <v>12</v>
      </c>
    </row>
    <row r="13" spans="1:2" x14ac:dyDescent="0.2">
      <c r="A13" s="5" t="s">
        <v>160</v>
      </c>
      <c r="B13" s="2">
        <v>11</v>
      </c>
    </row>
    <row r="14" spans="1:2" x14ac:dyDescent="0.2">
      <c r="A14" s="5" t="s">
        <v>343</v>
      </c>
      <c r="B14" s="2">
        <v>218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BDC1-3A5D-9042-B8FC-65258888F06C}">
  <dimension ref="A1:L351"/>
  <sheetViews>
    <sheetView topLeftCell="A2" workbookViewId="0">
      <selection activeCell="I43" sqref="I43"/>
    </sheetView>
  </sheetViews>
  <sheetFormatPr baseColWidth="10" defaultRowHeight="16" x14ac:dyDescent="0.2"/>
  <cols>
    <col min="1" max="1" width="6" bestFit="1" customWidth="1"/>
    <col min="2" max="2" width="10.5" bestFit="1" customWidth="1"/>
    <col min="3" max="3" width="7.1640625" bestFit="1" customWidth="1"/>
    <col min="4" max="4" width="11" bestFit="1" customWidth="1"/>
    <col min="5" max="5" width="10.5" bestFit="1" customWidth="1"/>
    <col min="6" max="6" width="25.33203125" bestFit="1" customWidth="1"/>
    <col min="7" max="7" width="8" bestFit="1" customWidth="1"/>
    <col min="8" max="8" width="11.6640625" bestFit="1" customWidth="1"/>
    <col min="9" max="9" width="10.33203125" bestFit="1" customWidth="1"/>
    <col min="10" max="10" width="8.83203125" bestFit="1" customWidth="1"/>
    <col min="11" max="11" width="9.83203125" bestFit="1" customWidth="1"/>
  </cols>
  <sheetData>
    <row r="1" spans="1:12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341</v>
      </c>
    </row>
    <row r="2" spans="1:12" x14ac:dyDescent="0.2">
      <c r="A2">
        <v>1</v>
      </c>
      <c r="B2" s="1">
        <v>45998</v>
      </c>
      <c r="C2" s="2" t="s">
        <v>13</v>
      </c>
      <c r="D2" s="3">
        <v>0.31180555555555556</v>
      </c>
      <c r="E2" s="2" t="s">
        <v>14</v>
      </c>
      <c r="F2" s="2" t="s">
        <v>15</v>
      </c>
      <c r="G2" s="2" t="s">
        <v>16</v>
      </c>
      <c r="H2">
        <v>0</v>
      </c>
      <c r="I2">
        <v>0</v>
      </c>
      <c r="J2" s="2" t="s">
        <v>17</v>
      </c>
      <c r="K2">
        <v>6509</v>
      </c>
      <c r="L2" t="str">
        <f>_xlfn.XLOOKUP(G2, CodeDescriptions!B:B, CodeDescriptions!C:C, "Unknown")</f>
        <v>DOORS OPEN IN ERROR</v>
      </c>
    </row>
    <row r="3" spans="1:12" x14ac:dyDescent="0.2">
      <c r="A3">
        <v>2</v>
      </c>
      <c r="B3" s="1">
        <v>45998</v>
      </c>
      <c r="C3" s="2" t="s">
        <v>13</v>
      </c>
      <c r="D3" s="3">
        <v>0.38680555555555557</v>
      </c>
      <c r="E3" s="2" t="s">
        <v>14</v>
      </c>
      <c r="F3" s="2" t="s">
        <v>18</v>
      </c>
      <c r="G3" s="2" t="s">
        <v>19</v>
      </c>
      <c r="H3">
        <v>7</v>
      </c>
      <c r="I3">
        <v>17</v>
      </c>
      <c r="J3" s="2" t="s">
        <v>17</v>
      </c>
      <c r="K3">
        <v>6501</v>
      </c>
      <c r="L3" t="str">
        <f>_xlfn.XLOOKUP(G3, CodeDescriptions!B:B, CodeDescriptions!C:C, "Unknown")</f>
        <v>TRACTION MOTORS</v>
      </c>
    </row>
    <row r="4" spans="1:12" x14ac:dyDescent="0.2">
      <c r="A4">
        <v>3</v>
      </c>
      <c r="B4" s="1">
        <v>45998</v>
      </c>
      <c r="C4" s="2" t="s">
        <v>13</v>
      </c>
      <c r="D4" s="3">
        <v>0.3923611111111111</v>
      </c>
      <c r="E4" s="2" t="s">
        <v>14</v>
      </c>
      <c r="F4" s="2" t="s">
        <v>18</v>
      </c>
      <c r="G4" s="2" t="s">
        <v>20</v>
      </c>
      <c r="H4">
        <v>5</v>
      </c>
      <c r="I4">
        <v>15</v>
      </c>
      <c r="J4" s="2" t="s">
        <v>1</v>
      </c>
      <c r="K4">
        <v>6512</v>
      </c>
      <c r="L4" t="str">
        <f>_xlfn.XLOOKUP(G4, CodeDescriptions!B:B, CodeDescriptions!C:C, "Unknown")</f>
        <v>BRAKES</v>
      </c>
    </row>
    <row r="5" spans="1:12" x14ac:dyDescent="0.2">
      <c r="A5">
        <v>4</v>
      </c>
      <c r="B5" s="1">
        <v>45998</v>
      </c>
      <c r="C5" s="2" t="s">
        <v>13</v>
      </c>
      <c r="D5" s="3">
        <v>0.39861111111111114</v>
      </c>
      <c r="E5" s="2" t="s">
        <v>14</v>
      </c>
      <c r="F5" s="2" t="s">
        <v>21</v>
      </c>
      <c r="G5" s="2" t="s">
        <v>22</v>
      </c>
      <c r="H5">
        <v>4</v>
      </c>
      <c r="I5">
        <v>14</v>
      </c>
      <c r="J5" s="2" t="s">
        <v>1</v>
      </c>
      <c r="K5">
        <v>6502</v>
      </c>
      <c r="L5" t="str">
        <f>_xlfn.XLOOKUP(G5, CodeDescriptions!B:B, CodeDescriptions!C:C, "Unknown")</f>
        <v>BODY</v>
      </c>
    </row>
    <row r="6" spans="1:12" x14ac:dyDescent="0.2">
      <c r="A6">
        <v>5</v>
      </c>
      <c r="B6" s="1">
        <v>45998</v>
      </c>
      <c r="C6" s="2" t="s">
        <v>13</v>
      </c>
      <c r="D6" s="3">
        <v>0.41319444444444442</v>
      </c>
      <c r="E6" s="2" t="s">
        <v>14</v>
      </c>
      <c r="F6" s="2" t="s">
        <v>21</v>
      </c>
      <c r="G6" s="2" t="s">
        <v>23</v>
      </c>
      <c r="H6">
        <v>5</v>
      </c>
      <c r="I6">
        <v>15</v>
      </c>
      <c r="J6" s="2" t="s">
        <v>24</v>
      </c>
      <c r="K6">
        <v>6508</v>
      </c>
      <c r="L6" t="str">
        <f>_xlfn.XLOOKUP(G6, CodeDescriptions!B:B, CodeDescriptions!C:C, "Unknown")</f>
        <v>MISCELLANEOUS TRANSPORTATION OTHER (EMPLOYEE NON-CHARGEABLE)</v>
      </c>
    </row>
    <row r="7" spans="1:12" x14ac:dyDescent="0.2">
      <c r="A7">
        <v>6</v>
      </c>
      <c r="B7" s="1">
        <v>45998</v>
      </c>
      <c r="C7" s="2" t="s">
        <v>13</v>
      </c>
      <c r="D7" s="3">
        <v>0.4201388888888889</v>
      </c>
      <c r="E7" s="2" t="s">
        <v>14</v>
      </c>
      <c r="F7" s="2" t="s">
        <v>25</v>
      </c>
      <c r="G7" s="2" t="s">
        <v>20</v>
      </c>
      <c r="H7">
        <v>4</v>
      </c>
      <c r="I7">
        <v>14</v>
      </c>
      <c r="J7" s="2" t="s">
        <v>1</v>
      </c>
      <c r="K7">
        <v>6514</v>
      </c>
      <c r="L7" t="str">
        <f>_xlfn.XLOOKUP(G7, CodeDescriptions!B:B, CodeDescriptions!C:C, "Unknown")</f>
        <v>BRAKES</v>
      </c>
    </row>
    <row r="8" spans="1:12" x14ac:dyDescent="0.2">
      <c r="A8">
        <v>7</v>
      </c>
      <c r="B8" s="1">
        <v>45998</v>
      </c>
      <c r="C8" s="2" t="s">
        <v>13</v>
      </c>
      <c r="D8" s="3">
        <v>0.4236111111111111</v>
      </c>
      <c r="E8" s="2" t="s">
        <v>14</v>
      </c>
      <c r="F8" s="2" t="s">
        <v>15</v>
      </c>
      <c r="G8" s="2" t="s">
        <v>26</v>
      </c>
      <c r="H8">
        <v>15</v>
      </c>
      <c r="I8">
        <v>25</v>
      </c>
      <c r="J8" s="2" t="s">
        <v>1</v>
      </c>
      <c r="K8">
        <v>6502</v>
      </c>
      <c r="L8" t="str">
        <f>_xlfn.XLOOKUP(G8, CodeDescriptions!B:B, CodeDescriptions!C:C, "Unknown")</f>
        <v>EQUIPMENT - OTHER</v>
      </c>
    </row>
    <row r="9" spans="1:12" x14ac:dyDescent="0.2">
      <c r="A9">
        <v>8</v>
      </c>
      <c r="B9" s="1">
        <v>45998</v>
      </c>
      <c r="C9" s="2" t="s">
        <v>13</v>
      </c>
      <c r="D9" s="3">
        <v>0.45</v>
      </c>
      <c r="E9" s="2" t="s">
        <v>14</v>
      </c>
      <c r="F9" s="2" t="s">
        <v>27</v>
      </c>
      <c r="G9" s="2" t="s">
        <v>20</v>
      </c>
      <c r="H9">
        <v>5</v>
      </c>
      <c r="I9">
        <v>15</v>
      </c>
      <c r="J9" s="2" t="s">
        <v>17</v>
      </c>
      <c r="K9">
        <v>6517</v>
      </c>
      <c r="L9" t="str">
        <f>_xlfn.XLOOKUP(G9, CodeDescriptions!B:B, CodeDescriptions!C:C, "Unknown")</f>
        <v>BRAKES</v>
      </c>
    </row>
    <row r="10" spans="1:12" x14ac:dyDescent="0.2">
      <c r="A10">
        <v>9</v>
      </c>
      <c r="B10" s="1">
        <v>45998</v>
      </c>
      <c r="C10" s="2" t="s">
        <v>13</v>
      </c>
      <c r="D10" s="3">
        <v>0.46180555555555558</v>
      </c>
      <c r="E10" s="2" t="s">
        <v>14</v>
      </c>
      <c r="F10" s="2" t="s">
        <v>28</v>
      </c>
      <c r="G10" s="2" t="s">
        <v>29</v>
      </c>
      <c r="H10">
        <v>10</v>
      </c>
      <c r="I10">
        <v>20</v>
      </c>
      <c r="J10" s="2" t="s">
        <v>1</v>
      </c>
      <c r="K10">
        <v>6509</v>
      </c>
      <c r="L10" t="str">
        <f>_xlfn.XLOOKUP(G10, CodeDescriptions!B:B, CodeDescriptions!C:C, "Unknown")</f>
        <v>TRANSPORTATION OTHER</v>
      </c>
    </row>
    <row r="11" spans="1:12" x14ac:dyDescent="0.2">
      <c r="A11">
        <v>10</v>
      </c>
      <c r="B11" s="1">
        <v>45998</v>
      </c>
      <c r="C11" s="2" t="s">
        <v>13</v>
      </c>
      <c r="D11" s="3">
        <v>0.52500000000000002</v>
      </c>
      <c r="E11" s="2" t="s">
        <v>14</v>
      </c>
      <c r="F11" s="2" t="s">
        <v>30</v>
      </c>
      <c r="G11" s="2" t="s">
        <v>16</v>
      </c>
      <c r="H11">
        <v>10</v>
      </c>
      <c r="I11">
        <v>20</v>
      </c>
      <c r="J11" s="2" t="s">
        <v>1</v>
      </c>
      <c r="K11">
        <v>6502</v>
      </c>
      <c r="L11" t="str">
        <f>_xlfn.XLOOKUP(G11, CodeDescriptions!B:B, CodeDescriptions!C:C, "Unknown")</f>
        <v>DOORS OPEN IN ERROR</v>
      </c>
    </row>
    <row r="12" spans="1:12" x14ac:dyDescent="0.2">
      <c r="A12">
        <v>11</v>
      </c>
      <c r="B12" s="1">
        <v>45998</v>
      </c>
      <c r="C12" s="2" t="s">
        <v>13</v>
      </c>
      <c r="D12" s="3">
        <v>0.58125000000000004</v>
      </c>
      <c r="E12" s="2" t="s">
        <v>14</v>
      </c>
      <c r="F12" s="2" t="s">
        <v>28</v>
      </c>
      <c r="G12" s="2" t="s">
        <v>31</v>
      </c>
      <c r="H12">
        <v>5</v>
      </c>
      <c r="I12">
        <v>15</v>
      </c>
      <c r="J12" s="2" t="s">
        <v>17</v>
      </c>
      <c r="K12">
        <v>6507</v>
      </c>
      <c r="L12" t="str">
        <f>_xlfn.XLOOKUP(G12, CodeDescriptions!B:B, CodeDescriptions!C:C, "Unknown")</f>
        <v>OPERATOR OVERSHOT PLATFORM</v>
      </c>
    </row>
    <row r="13" spans="1:12" x14ac:dyDescent="0.2">
      <c r="A13">
        <v>12</v>
      </c>
      <c r="B13" s="1">
        <v>45998</v>
      </c>
      <c r="C13" s="2" t="s">
        <v>13</v>
      </c>
      <c r="D13" s="3">
        <v>0.62083333333333335</v>
      </c>
      <c r="E13" s="2" t="s">
        <v>14</v>
      </c>
      <c r="F13" s="2" t="s">
        <v>28</v>
      </c>
      <c r="G13" s="2" t="s">
        <v>31</v>
      </c>
      <c r="H13">
        <v>3</v>
      </c>
      <c r="I13">
        <v>13</v>
      </c>
      <c r="J13" s="2" t="s">
        <v>17</v>
      </c>
      <c r="K13">
        <v>6501</v>
      </c>
      <c r="L13" t="str">
        <f>_xlfn.XLOOKUP(G13, CodeDescriptions!B:B, CodeDescriptions!C:C, "Unknown")</f>
        <v>OPERATOR OVERSHOT PLATFORM</v>
      </c>
    </row>
    <row r="14" spans="1:12" x14ac:dyDescent="0.2">
      <c r="A14">
        <v>13</v>
      </c>
      <c r="B14" s="1">
        <v>45998</v>
      </c>
      <c r="C14" s="2" t="s">
        <v>13</v>
      </c>
      <c r="D14" s="3">
        <v>0.64583333333333337</v>
      </c>
      <c r="E14" s="2" t="s">
        <v>14</v>
      </c>
      <c r="F14" s="2" t="s">
        <v>21</v>
      </c>
      <c r="G14" s="2" t="s">
        <v>32</v>
      </c>
      <c r="H14">
        <v>0</v>
      </c>
      <c r="I14">
        <v>0</v>
      </c>
      <c r="J14" s="2" t="s">
        <v>24</v>
      </c>
      <c r="K14">
        <v>0</v>
      </c>
      <c r="L14" t="str">
        <f>_xlfn.XLOOKUP(G14, CodeDescriptions!B:B, CodeDescriptions!C:C, "Unknown")</f>
        <v>MISCELLANEOUS OTHER</v>
      </c>
    </row>
    <row r="15" spans="1:12" x14ac:dyDescent="0.2">
      <c r="A15">
        <v>14</v>
      </c>
      <c r="B15" s="1">
        <v>45998</v>
      </c>
      <c r="C15" s="2" t="s">
        <v>13</v>
      </c>
      <c r="D15" s="3">
        <v>0.67777777777777781</v>
      </c>
      <c r="E15" s="2" t="s">
        <v>14</v>
      </c>
      <c r="F15" s="2" t="s">
        <v>33</v>
      </c>
      <c r="G15" s="2" t="s">
        <v>26</v>
      </c>
      <c r="H15">
        <v>3</v>
      </c>
      <c r="I15">
        <v>10</v>
      </c>
      <c r="J15" s="2" t="s">
        <v>17</v>
      </c>
      <c r="K15">
        <v>6512</v>
      </c>
      <c r="L15" t="str">
        <f>_xlfn.XLOOKUP(G15, CodeDescriptions!B:B, CodeDescriptions!C:C, "Unknown")</f>
        <v>EQUIPMENT - OTHER</v>
      </c>
    </row>
    <row r="16" spans="1:12" x14ac:dyDescent="0.2">
      <c r="A16">
        <v>15</v>
      </c>
      <c r="B16" s="1">
        <v>45998</v>
      </c>
      <c r="C16" s="2" t="s">
        <v>13</v>
      </c>
      <c r="D16" s="3">
        <v>0.69027777777777777</v>
      </c>
      <c r="E16" s="2" t="s">
        <v>14</v>
      </c>
      <c r="F16" s="2" t="s">
        <v>34</v>
      </c>
      <c r="G16" s="2" t="s">
        <v>31</v>
      </c>
      <c r="H16">
        <v>3</v>
      </c>
      <c r="I16">
        <v>13</v>
      </c>
      <c r="J16" s="2" t="s">
        <v>17</v>
      </c>
      <c r="K16">
        <v>6508</v>
      </c>
      <c r="L16" t="str">
        <f>_xlfn.XLOOKUP(G16, CodeDescriptions!B:B, CodeDescriptions!C:C, "Unknown")</f>
        <v>OPERATOR OVERSHOT PLATFORM</v>
      </c>
    </row>
    <row r="17" spans="1:12" x14ac:dyDescent="0.2">
      <c r="A17">
        <v>16</v>
      </c>
      <c r="B17" s="1">
        <v>45998</v>
      </c>
      <c r="C17" s="2" t="s">
        <v>13</v>
      </c>
      <c r="D17" s="3">
        <v>0.7680555555555556</v>
      </c>
      <c r="E17" s="2" t="s">
        <v>14</v>
      </c>
      <c r="F17" s="2" t="s">
        <v>35</v>
      </c>
      <c r="G17" s="2" t="s">
        <v>26</v>
      </c>
      <c r="H17">
        <v>13</v>
      </c>
      <c r="I17">
        <v>23</v>
      </c>
      <c r="J17" s="2" t="s">
        <v>17</v>
      </c>
      <c r="K17">
        <v>6514</v>
      </c>
      <c r="L17" t="str">
        <f>_xlfn.XLOOKUP(G17, CodeDescriptions!B:B, CodeDescriptions!C:C, "Unknown")</f>
        <v>EQUIPMENT - OTHER</v>
      </c>
    </row>
    <row r="18" spans="1:12" x14ac:dyDescent="0.2">
      <c r="A18">
        <v>17</v>
      </c>
      <c r="B18" s="1">
        <v>45998</v>
      </c>
      <c r="C18" s="2" t="s">
        <v>13</v>
      </c>
      <c r="D18" s="3">
        <v>0.78194444444444444</v>
      </c>
      <c r="E18" s="2" t="s">
        <v>14</v>
      </c>
      <c r="F18" s="2" t="s">
        <v>15</v>
      </c>
      <c r="G18" s="2" t="s">
        <v>36</v>
      </c>
      <c r="H18">
        <v>0</v>
      </c>
      <c r="I18">
        <v>0</v>
      </c>
      <c r="J18" s="2" t="s">
        <v>24</v>
      </c>
      <c r="K18">
        <v>0</v>
      </c>
      <c r="L18" t="str">
        <f>_xlfn.XLOOKUP(G18, CodeDescriptions!B:B, CodeDescriptions!C:C, "Unknown")</f>
        <v>INJURED/ILL CUSTOMER IN STATION/STOP – TRANSPORTED</v>
      </c>
    </row>
    <row r="19" spans="1:12" x14ac:dyDescent="0.2">
      <c r="A19">
        <v>18</v>
      </c>
      <c r="B19" s="1">
        <v>45998</v>
      </c>
      <c r="C19" s="2" t="s">
        <v>13</v>
      </c>
      <c r="D19" s="3">
        <v>0.87222222222222223</v>
      </c>
      <c r="E19" s="2" t="s">
        <v>14</v>
      </c>
      <c r="F19" s="2" t="s">
        <v>37</v>
      </c>
      <c r="G19" s="2" t="s">
        <v>38</v>
      </c>
      <c r="H19">
        <v>12</v>
      </c>
      <c r="I19">
        <v>24</v>
      </c>
      <c r="J19" s="2" t="s">
        <v>1</v>
      </c>
      <c r="K19">
        <v>6512</v>
      </c>
      <c r="L19" t="str">
        <f>_xlfn.XLOOKUP(G19, CodeDescriptions!B:B, CodeDescriptions!C:C, "Unknown")</f>
        <v>UNABLE TO MAINT SCHED DUE TO TRAFFIC/PASSENGER CONGESTION</v>
      </c>
    </row>
    <row r="20" spans="1:12" x14ac:dyDescent="0.2">
      <c r="A20">
        <v>19</v>
      </c>
      <c r="B20" s="1">
        <v>45998</v>
      </c>
      <c r="C20" s="2" t="s">
        <v>13</v>
      </c>
      <c r="D20" s="3">
        <v>0.8833333333333333</v>
      </c>
      <c r="E20" s="2" t="s">
        <v>14</v>
      </c>
      <c r="F20" s="2" t="s">
        <v>21</v>
      </c>
      <c r="G20" s="2" t="s">
        <v>23</v>
      </c>
      <c r="H20">
        <v>7</v>
      </c>
      <c r="I20">
        <v>19</v>
      </c>
      <c r="J20" s="2" t="s">
        <v>17</v>
      </c>
      <c r="K20">
        <v>6506</v>
      </c>
      <c r="L20" t="str">
        <f>_xlfn.XLOOKUP(G20, CodeDescriptions!B:B, CodeDescriptions!C:C, "Unknown")</f>
        <v>MISCELLANEOUS TRANSPORTATION OTHER (EMPLOYEE NON-CHARGEABLE)</v>
      </c>
    </row>
    <row r="21" spans="1:12" x14ac:dyDescent="0.2">
      <c r="A21">
        <v>20</v>
      </c>
      <c r="B21" s="1">
        <v>45998</v>
      </c>
      <c r="C21" s="2" t="s">
        <v>13</v>
      </c>
      <c r="D21" s="3">
        <v>0.91597222222222219</v>
      </c>
      <c r="E21" s="2" t="s">
        <v>14</v>
      </c>
      <c r="F21" s="2" t="s">
        <v>15</v>
      </c>
      <c r="G21" s="2" t="s">
        <v>38</v>
      </c>
      <c r="H21">
        <v>12</v>
      </c>
      <c r="I21">
        <v>24</v>
      </c>
      <c r="J21" s="2" t="s">
        <v>17</v>
      </c>
      <c r="K21">
        <v>6512</v>
      </c>
      <c r="L21" t="str">
        <f>_xlfn.XLOOKUP(G21, CodeDescriptions!B:B, CodeDescriptions!C:C, "Unknown")</f>
        <v>UNABLE TO MAINT SCHED DUE TO TRAFFIC/PASSENGER CONGESTION</v>
      </c>
    </row>
    <row r="22" spans="1:12" x14ac:dyDescent="0.2">
      <c r="A22">
        <v>21</v>
      </c>
      <c r="B22" s="1">
        <v>45998</v>
      </c>
      <c r="C22" s="2" t="s">
        <v>13</v>
      </c>
      <c r="D22" s="3">
        <v>0.96180555555555558</v>
      </c>
      <c r="E22" s="2" t="s">
        <v>14</v>
      </c>
      <c r="F22" s="2" t="s">
        <v>21</v>
      </c>
      <c r="G22" s="2" t="s">
        <v>39</v>
      </c>
      <c r="H22">
        <v>0</v>
      </c>
      <c r="I22">
        <v>0</v>
      </c>
      <c r="J22" s="2" t="s">
        <v>1</v>
      </c>
      <c r="K22">
        <v>6512</v>
      </c>
      <c r="L22" t="str">
        <f>_xlfn.XLOOKUP(G22, CodeDescriptions!B:B, CodeDescriptions!C:C, "Unknown")</f>
        <v>DOOR PROBLEMS (FAULTY EQUIPMENT)</v>
      </c>
    </row>
    <row r="23" spans="1:12" x14ac:dyDescent="0.2">
      <c r="A23">
        <v>22</v>
      </c>
      <c r="B23" s="1">
        <v>45999</v>
      </c>
      <c r="C23" s="2" t="s">
        <v>13</v>
      </c>
      <c r="D23" s="3">
        <v>0.21388888888888888</v>
      </c>
      <c r="E23" s="2" t="s">
        <v>40</v>
      </c>
      <c r="F23" s="2" t="s">
        <v>41</v>
      </c>
      <c r="G23" s="2" t="s">
        <v>42</v>
      </c>
      <c r="H23">
        <v>14</v>
      </c>
      <c r="I23">
        <v>0</v>
      </c>
      <c r="J23" s="2" t="s">
        <v>1</v>
      </c>
      <c r="K23">
        <v>6512</v>
      </c>
      <c r="L23" t="str">
        <f>_xlfn.XLOOKUP(G23, CodeDescriptions!B:B, CodeDescriptions!C:C, "Unknown")</f>
        <v>WORK ZONE PROBLEMS</v>
      </c>
    </row>
    <row r="24" spans="1:12" x14ac:dyDescent="0.2">
      <c r="A24">
        <v>23</v>
      </c>
      <c r="B24" s="1">
        <v>45999</v>
      </c>
      <c r="C24" s="2" t="s">
        <v>13</v>
      </c>
      <c r="D24" s="3">
        <v>0.22777777777777777</v>
      </c>
      <c r="E24" s="2" t="s">
        <v>40</v>
      </c>
      <c r="F24" s="2" t="s">
        <v>21</v>
      </c>
      <c r="G24" s="2" t="s">
        <v>43</v>
      </c>
      <c r="H24">
        <v>6</v>
      </c>
      <c r="I24">
        <v>0</v>
      </c>
      <c r="J24" s="2" t="s">
        <v>1</v>
      </c>
      <c r="K24">
        <v>6507</v>
      </c>
      <c r="L24" t="str">
        <f>_xlfn.XLOOKUP(G24, CodeDescriptions!B:B, CodeDescriptions!C:C, "Unknown")</f>
        <v>OPERATOR NOT IN POSTION</v>
      </c>
    </row>
    <row r="25" spans="1:12" x14ac:dyDescent="0.2">
      <c r="A25">
        <v>24</v>
      </c>
      <c r="B25" s="1">
        <v>45999</v>
      </c>
      <c r="C25" s="2" t="s">
        <v>13</v>
      </c>
      <c r="D25" s="3">
        <v>0.25069444444444444</v>
      </c>
      <c r="E25" s="2" t="s">
        <v>40</v>
      </c>
      <c r="F25" s="2" t="s">
        <v>21</v>
      </c>
      <c r="G25" s="2" t="s">
        <v>32</v>
      </c>
      <c r="H25">
        <v>0</v>
      </c>
      <c r="I25">
        <v>0</v>
      </c>
      <c r="J25" s="2" t="s">
        <v>24</v>
      </c>
      <c r="K25">
        <v>0</v>
      </c>
      <c r="L25" t="str">
        <f>_xlfn.XLOOKUP(G25, CodeDescriptions!B:B, CodeDescriptions!C:C, "Unknown")</f>
        <v>MISCELLANEOUS OTHER</v>
      </c>
    </row>
    <row r="26" spans="1:12" x14ac:dyDescent="0.2">
      <c r="A26">
        <v>25</v>
      </c>
      <c r="B26" s="1">
        <v>45999</v>
      </c>
      <c r="C26" s="2" t="s">
        <v>13</v>
      </c>
      <c r="D26" s="3">
        <v>0.28055555555555556</v>
      </c>
      <c r="E26" s="2" t="s">
        <v>40</v>
      </c>
      <c r="F26" s="2" t="s">
        <v>44</v>
      </c>
      <c r="G26" s="2" t="s">
        <v>32</v>
      </c>
      <c r="H26">
        <v>3</v>
      </c>
      <c r="I26">
        <v>9</v>
      </c>
      <c r="J26" s="2" t="s">
        <v>1</v>
      </c>
      <c r="K26">
        <v>6503</v>
      </c>
      <c r="L26" t="str">
        <f>_xlfn.XLOOKUP(G26, CodeDescriptions!B:B, CodeDescriptions!C:C, "Unknown")</f>
        <v>MISCELLANEOUS OTHER</v>
      </c>
    </row>
    <row r="27" spans="1:12" x14ac:dyDescent="0.2">
      <c r="A27">
        <v>26</v>
      </c>
      <c r="B27" s="1">
        <v>45999</v>
      </c>
      <c r="C27" s="2" t="s">
        <v>13</v>
      </c>
      <c r="D27" s="3">
        <v>0.28194444444444444</v>
      </c>
      <c r="E27" s="2" t="s">
        <v>40</v>
      </c>
      <c r="F27" s="2" t="s">
        <v>44</v>
      </c>
      <c r="G27" s="2" t="s">
        <v>45</v>
      </c>
      <c r="H27">
        <v>0</v>
      </c>
      <c r="I27">
        <v>0</v>
      </c>
      <c r="J27" s="2" t="s">
        <v>17</v>
      </c>
      <c r="K27">
        <v>6507</v>
      </c>
      <c r="L27" t="str">
        <f>_xlfn.XLOOKUP(G27, CodeDescriptions!B:B, CodeDescriptions!C:C, "Unknown")</f>
        <v>OPERATOR OVERSPEED</v>
      </c>
    </row>
    <row r="28" spans="1:12" x14ac:dyDescent="0.2">
      <c r="A28">
        <v>27</v>
      </c>
      <c r="B28" s="1">
        <v>45999</v>
      </c>
      <c r="C28" s="2" t="s">
        <v>13</v>
      </c>
      <c r="D28" s="3">
        <v>0.28819444444444442</v>
      </c>
      <c r="E28" s="2" t="s">
        <v>40</v>
      </c>
      <c r="F28" s="2" t="s">
        <v>37</v>
      </c>
      <c r="G28" s="2" t="s">
        <v>29</v>
      </c>
      <c r="H28">
        <v>4</v>
      </c>
      <c r="I28">
        <v>10</v>
      </c>
      <c r="J28" s="2" t="s">
        <v>1</v>
      </c>
      <c r="K28">
        <v>6517</v>
      </c>
      <c r="L28" t="str">
        <f>_xlfn.XLOOKUP(G28, CodeDescriptions!B:B, CodeDescriptions!C:C, "Unknown")</f>
        <v>TRANSPORTATION OTHER</v>
      </c>
    </row>
    <row r="29" spans="1:12" x14ac:dyDescent="0.2">
      <c r="A29">
        <v>28</v>
      </c>
      <c r="B29" s="1">
        <v>45999</v>
      </c>
      <c r="C29" s="2" t="s">
        <v>13</v>
      </c>
      <c r="D29" s="3">
        <v>0.34027777777777779</v>
      </c>
      <c r="E29" s="2" t="s">
        <v>40</v>
      </c>
      <c r="F29" s="2" t="s">
        <v>21</v>
      </c>
      <c r="G29" s="2" t="s">
        <v>43</v>
      </c>
      <c r="H29">
        <v>6</v>
      </c>
      <c r="I29">
        <v>12</v>
      </c>
      <c r="J29" s="2" t="s">
        <v>1</v>
      </c>
      <c r="K29">
        <v>6511</v>
      </c>
      <c r="L29" t="str">
        <f>_xlfn.XLOOKUP(G29, CodeDescriptions!B:B, CodeDescriptions!C:C, "Unknown")</f>
        <v>OPERATOR NOT IN POSTION</v>
      </c>
    </row>
    <row r="30" spans="1:12" x14ac:dyDescent="0.2">
      <c r="A30">
        <v>29</v>
      </c>
      <c r="B30" s="1">
        <v>45999</v>
      </c>
      <c r="C30" s="2" t="s">
        <v>13</v>
      </c>
      <c r="D30" s="3">
        <v>0.40347222222222223</v>
      </c>
      <c r="E30" s="2" t="s">
        <v>40</v>
      </c>
      <c r="F30" s="2" t="s">
        <v>21</v>
      </c>
      <c r="G30" s="2" t="s">
        <v>23</v>
      </c>
      <c r="H30">
        <v>5</v>
      </c>
      <c r="I30">
        <v>0</v>
      </c>
      <c r="J30" s="2" t="s">
        <v>1</v>
      </c>
      <c r="K30">
        <v>6508</v>
      </c>
      <c r="L30" t="str">
        <f>_xlfn.XLOOKUP(G30, CodeDescriptions!B:B, CodeDescriptions!C:C, "Unknown")</f>
        <v>MISCELLANEOUS TRANSPORTATION OTHER (EMPLOYEE NON-CHARGEABLE)</v>
      </c>
    </row>
    <row r="31" spans="1:12" x14ac:dyDescent="0.2">
      <c r="A31">
        <v>30</v>
      </c>
      <c r="B31" s="1">
        <v>45999</v>
      </c>
      <c r="C31" s="2" t="s">
        <v>13</v>
      </c>
      <c r="D31" s="3">
        <v>0.53888888888888886</v>
      </c>
      <c r="E31" s="2" t="s">
        <v>40</v>
      </c>
      <c r="F31" s="2" t="s">
        <v>27</v>
      </c>
      <c r="G31" s="2" t="s">
        <v>31</v>
      </c>
      <c r="H31">
        <v>4</v>
      </c>
      <c r="I31">
        <v>14</v>
      </c>
      <c r="J31" s="2" t="s">
        <v>1</v>
      </c>
      <c r="K31">
        <v>6509</v>
      </c>
      <c r="L31" t="str">
        <f>_xlfn.XLOOKUP(G31, CodeDescriptions!B:B, CodeDescriptions!C:C, "Unknown")</f>
        <v>OPERATOR OVERSHOT PLATFORM</v>
      </c>
    </row>
    <row r="32" spans="1:12" x14ac:dyDescent="0.2">
      <c r="A32">
        <v>31</v>
      </c>
      <c r="B32" s="1">
        <v>45999</v>
      </c>
      <c r="C32" s="2" t="s">
        <v>13</v>
      </c>
      <c r="D32" s="3">
        <v>0.5493055555555556</v>
      </c>
      <c r="E32" s="2" t="s">
        <v>40</v>
      </c>
      <c r="F32" s="2" t="s">
        <v>21</v>
      </c>
      <c r="G32" s="2" t="s">
        <v>39</v>
      </c>
      <c r="H32">
        <v>10</v>
      </c>
      <c r="I32">
        <v>10</v>
      </c>
      <c r="J32" s="2" t="s">
        <v>17</v>
      </c>
      <c r="K32">
        <v>6517</v>
      </c>
      <c r="L32" t="str">
        <f>_xlfn.XLOOKUP(G32, CodeDescriptions!B:B, CodeDescriptions!C:C, "Unknown")</f>
        <v>DOOR PROBLEMS (FAULTY EQUIPMENT)</v>
      </c>
    </row>
    <row r="33" spans="1:12" x14ac:dyDescent="0.2">
      <c r="A33">
        <v>32</v>
      </c>
      <c r="B33" s="1">
        <v>45999</v>
      </c>
      <c r="C33" s="2" t="s">
        <v>13</v>
      </c>
      <c r="D33" s="3">
        <v>0.55555555555555558</v>
      </c>
      <c r="E33" s="2" t="s">
        <v>40</v>
      </c>
      <c r="F33" s="2" t="s">
        <v>21</v>
      </c>
      <c r="G33" s="2" t="s">
        <v>23</v>
      </c>
      <c r="H33">
        <v>4</v>
      </c>
      <c r="I33">
        <v>10</v>
      </c>
      <c r="J33" s="2" t="s">
        <v>17</v>
      </c>
      <c r="K33">
        <v>6501</v>
      </c>
      <c r="L33" t="str">
        <f>_xlfn.XLOOKUP(G33, CodeDescriptions!B:B, CodeDescriptions!C:C, "Unknown")</f>
        <v>MISCELLANEOUS TRANSPORTATION OTHER (EMPLOYEE NON-CHARGEABLE)</v>
      </c>
    </row>
    <row r="34" spans="1:12" x14ac:dyDescent="0.2">
      <c r="A34">
        <v>33</v>
      </c>
      <c r="B34" s="1">
        <v>45999</v>
      </c>
      <c r="C34" s="2" t="s">
        <v>13</v>
      </c>
      <c r="D34" s="3">
        <v>0.62569444444444444</v>
      </c>
      <c r="E34" s="2" t="s">
        <v>40</v>
      </c>
      <c r="F34" s="2" t="s">
        <v>44</v>
      </c>
      <c r="G34" s="2" t="s">
        <v>29</v>
      </c>
      <c r="H34">
        <v>4</v>
      </c>
      <c r="I34">
        <v>14</v>
      </c>
      <c r="J34" s="2" t="s">
        <v>1</v>
      </c>
      <c r="K34">
        <v>6503</v>
      </c>
      <c r="L34" t="str">
        <f>_xlfn.XLOOKUP(G34, CodeDescriptions!B:B, CodeDescriptions!C:C, "Unknown")</f>
        <v>TRANSPORTATION OTHER</v>
      </c>
    </row>
    <row r="35" spans="1:12" x14ac:dyDescent="0.2">
      <c r="A35">
        <v>34</v>
      </c>
      <c r="B35" s="1">
        <v>45999</v>
      </c>
      <c r="C35" s="2" t="s">
        <v>13</v>
      </c>
      <c r="D35" s="3">
        <v>0.65416666666666667</v>
      </c>
      <c r="E35" s="2" t="s">
        <v>40</v>
      </c>
      <c r="F35" s="2" t="s">
        <v>34</v>
      </c>
      <c r="G35" s="2" t="s">
        <v>46</v>
      </c>
      <c r="H35">
        <v>6</v>
      </c>
      <c r="I35">
        <v>12</v>
      </c>
      <c r="J35" s="2" t="s">
        <v>1</v>
      </c>
      <c r="K35">
        <v>6517</v>
      </c>
      <c r="L35" t="str">
        <f>_xlfn.XLOOKUP(G35, CodeDescriptions!B:B, CodeDescriptions!C:C, "Unknown")</f>
        <v>HVAC</v>
      </c>
    </row>
    <row r="36" spans="1:12" x14ac:dyDescent="0.2">
      <c r="A36">
        <v>35</v>
      </c>
      <c r="B36" s="1">
        <v>45999</v>
      </c>
      <c r="C36" s="2" t="s">
        <v>13</v>
      </c>
      <c r="D36" s="3">
        <v>0.69513888888888886</v>
      </c>
      <c r="E36" s="2" t="s">
        <v>40</v>
      </c>
      <c r="F36" s="2" t="s">
        <v>15</v>
      </c>
      <c r="G36" s="2" t="s">
        <v>46</v>
      </c>
      <c r="H36">
        <v>6</v>
      </c>
      <c r="I36">
        <v>12</v>
      </c>
      <c r="J36" s="2" t="s">
        <v>24</v>
      </c>
      <c r="K36">
        <v>6512</v>
      </c>
      <c r="L36" t="str">
        <f>_xlfn.XLOOKUP(G36, CodeDescriptions!B:B, CodeDescriptions!C:C, "Unknown")</f>
        <v>HVAC</v>
      </c>
    </row>
    <row r="37" spans="1:12" x14ac:dyDescent="0.2">
      <c r="A37">
        <v>36</v>
      </c>
      <c r="B37" s="1">
        <v>45999</v>
      </c>
      <c r="C37" s="2" t="s">
        <v>13</v>
      </c>
      <c r="D37" s="3">
        <v>0.72916666666666663</v>
      </c>
      <c r="E37" s="2" t="s">
        <v>40</v>
      </c>
      <c r="F37" s="2" t="s">
        <v>47</v>
      </c>
      <c r="G37" s="2" t="s">
        <v>48</v>
      </c>
      <c r="H37">
        <v>3</v>
      </c>
      <c r="I37">
        <v>9</v>
      </c>
      <c r="J37" s="2" t="s">
        <v>49</v>
      </c>
      <c r="K37">
        <v>6511</v>
      </c>
      <c r="L37" t="str">
        <f>_xlfn.XLOOKUP(G37, CodeDescriptions!B:B, CodeDescriptions!C:C, "Unknown")</f>
        <v>TRACTION POWER OR RELATED COMPONENTS FAILURE</v>
      </c>
    </row>
    <row r="38" spans="1:12" x14ac:dyDescent="0.2">
      <c r="A38">
        <v>37</v>
      </c>
      <c r="B38" s="1">
        <v>45999</v>
      </c>
      <c r="C38" s="2" t="s">
        <v>13</v>
      </c>
      <c r="D38" s="3">
        <v>0.8881944444444444</v>
      </c>
      <c r="E38" s="2" t="s">
        <v>40</v>
      </c>
      <c r="F38" s="2" t="s">
        <v>50</v>
      </c>
      <c r="G38" s="2" t="s">
        <v>20</v>
      </c>
      <c r="H38">
        <v>9</v>
      </c>
      <c r="I38">
        <v>23</v>
      </c>
      <c r="J38" s="2" t="s">
        <v>1</v>
      </c>
      <c r="K38">
        <v>6503</v>
      </c>
      <c r="L38" t="str">
        <f>_xlfn.XLOOKUP(G38, CodeDescriptions!B:B, CodeDescriptions!C:C, "Unknown")</f>
        <v>BRAKES</v>
      </c>
    </row>
    <row r="39" spans="1:12" x14ac:dyDescent="0.2">
      <c r="A39">
        <v>38</v>
      </c>
      <c r="B39" s="1">
        <v>45999</v>
      </c>
      <c r="C39" s="2" t="s">
        <v>13</v>
      </c>
      <c r="D39" s="3">
        <v>0.93958333333333333</v>
      </c>
      <c r="E39" s="2" t="s">
        <v>40</v>
      </c>
      <c r="F39" s="2" t="s">
        <v>51</v>
      </c>
      <c r="G39" s="2" t="s">
        <v>26</v>
      </c>
      <c r="H39">
        <v>0</v>
      </c>
      <c r="I39">
        <v>0</v>
      </c>
      <c r="J39" s="2" t="s">
        <v>17</v>
      </c>
      <c r="K39">
        <v>6507</v>
      </c>
      <c r="L39" t="str">
        <f>_xlfn.XLOOKUP(G39, CodeDescriptions!B:B, CodeDescriptions!C:C, "Unknown")</f>
        <v>EQUIPMENT - OTHER</v>
      </c>
    </row>
    <row r="40" spans="1:12" x14ac:dyDescent="0.2">
      <c r="A40">
        <v>39</v>
      </c>
      <c r="B40" s="1">
        <v>46000</v>
      </c>
      <c r="C40" s="2" t="s">
        <v>13</v>
      </c>
      <c r="D40" s="3">
        <v>0.21249999999999999</v>
      </c>
      <c r="E40" s="2" t="s">
        <v>52</v>
      </c>
      <c r="F40" s="2" t="s">
        <v>30</v>
      </c>
      <c r="G40" s="2" t="s">
        <v>26</v>
      </c>
      <c r="H40">
        <v>0</v>
      </c>
      <c r="I40">
        <v>0</v>
      </c>
      <c r="J40" s="2" t="s">
        <v>17</v>
      </c>
      <c r="K40">
        <v>6501</v>
      </c>
      <c r="L40" t="str">
        <f>_xlfn.XLOOKUP(G40, CodeDescriptions!B:B, CodeDescriptions!C:C, "Unknown")</f>
        <v>EQUIPMENT - OTHER</v>
      </c>
    </row>
    <row r="41" spans="1:12" x14ac:dyDescent="0.2">
      <c r="A41">
        <v>40</v>
      </c>
      <c r="B41" s="1">
        <v>46000</v>
      </c>
      <c r="C41" s="2" t="s">
        <v>13</v>
      </c>
      <c r="D41" s="3">
        <v>0.30277777777777776</v>
      </c>
      <c r="E41" s="2" t="s">
        <v>52</v>
      </c>
      <c r="F41" s="2" t="s">
        <v>30</v>
      </c>
      <c r="G41" s="2" t="s">
        <v>26</v>
      </c>
      <c r="H41">
        <v>0</v>
      </c>
      <c r="I41">
        <v>0</v>
      </c>
      <c r="J41" s="2" t="s">
        <v>17</v>
      </c>
      <c r="K41">
        <v>6507</v>
      </c>
      <c r="L41" t="str">
        <f>_xlfn.XLOOKUP(G41, CodeDescriptions!B:B, CodeDescriptions!C:C, "Unknown")</f>
        <v>EQUIPMENT - OTHER</v>
      </c>
    </row>
    <row r="42" spans="1:12" x14ac:dyDescent="0.2">
      <c r="A42">
        <v>41</v>
      </c>
      <c r="B42" s="1">
        <v>46000</v>
      </c>
      <c r="C42" s="2" t="s">
        <v>13</v>
      </c>
      <c r="D42" s="3">
        <v>0.32083333333333336</v>
      </c>
      <c r="E42" s="2" t="s">
        <v>52</v>
      </c>
      <c r="F42" s="2" t="s">
        <v>33</v>
      </c>
      <c r="G42" s="2" t="s">
        <v>26</v>
      </c>
      <c r="H42">
        <v>0</v>
      </c>
      <c r="I42">
        <v>0</v>
      </c>
      <c r="J42" s="2" t="s">
        <v>17</v>
      </c>
      <c r="K42">
        <v>6514</v>
      </c>
      <c r="L42" t="str">
        <f>_xlfn.XLOOKUP(G42, CodeDescriptions!B:B, CodeDescriptions!C:C, "Unknown")</f>
        <v>EQUIPMENT - OTHER</v>
      </c>
    </row>
    <row r="43" spans="1:12" x14ac:dyDescent="0.2">
      <c r="A43">
        <v>42</v>
      </c>
      <c r="B43" s="1">
        <v>46000</v>
      </c>
      <c r="C43" s="2" t="s">
        <v>13</v>
      </c>
      <c r="D43" s="3">
        <v>0.35625000000000001</v>
      </c>
      <c r="E43" s="2" t="s">
        <v>52</v>
      </c>
      <c r="F43" s="2" t="s">
        <v>53</v>
      </c>
      <c r="G43" s="2" t="s">
        <v>26</v>
      </c>
      <c r="H43">
        <v>0</v>
      </c>
      <c r="I43">
        <v>0</v>
      </c>
      <c r="J43" s="2" t="s">
        <v>17</v>
      </c>
      <c r="K43">
        <v>6508</v>
      </c>
      <c r="L43" t="str">
        <f>_xlfn.XLOOKUP(G43, CodeDescriptions!B:B, CodeDescriptions!C:C, "Unknown")</f>
        <v>EQUIPMENT - OTHER</v>
      </c>
    </row>
    <row r="44" spans="1:12" x14ac:dyDescent="0.2">
      <c r="A44">
        <v>43</v>
      </c>
      <c r="B44" s="1">
        <v>46000</v>
      </c>
      <c r="C44" s="2" t="s">
        <v>13</v>
      </c>
      <c r="D44" s="3">
        <v>0.37222222222222223</v>
      </c>
      <c r="E44" s="2" t="s">
        <v>52</v>
      </c>
      <c r="F44" s="2" t="s">
        <v>18</v>
      </c>
      <c r="G44" s="2" t="s">
        <v>26</v>
      </c>
      <c r="H44">
        <v>0</v>
      </c>
      <c r="I44">
        <v>0</v>
      </c>
      <c r="J44" s="2" t="s">
        <v>1</v>
      </c>
      <c r="K44">
        <v>6514</v>
      </c>
      <c r="L44" t="str">
        <f>_xlfn.XLOOKUP(G44, CodeDescriptions!B:B, CodeDescriptions!C:C, "Unknown")</f>
        <v>EQUIPMENT - OTHER</v>
      </c>
    </row>
    <row r="45" spans="1:12" x14ac:dyDescent="0.2">
      <c r="A45">
        <v>44</v>
      </c>
      <c r="B45" s="1">
        <v>46000</v>
      </c>
      <c r="C45" s="2" t="s">
        <v>13</v>
      </c>
      <c r="D45" s="3">
        <v>0.37569444444444444</v>
      </c>
      <c r="E45" s="2" t="s">
        <v>52</v>
      </c>
      <c r="F45" s="2" t="s">
        <v>33</v>
      </c>
      <c r="G45" s="2" t="s">
        <v>26</v>
      </c>
      <c r="H45">
        <v>0</v>
      </c>
      <c r="I45">
        <v>0</v>
      </c>
      <c r="J45" s="2" t="s">
        <v>17</v>
      </c>
      <c r="K45">
        <v>6503</v>
      </c>
      <c r="L45" t="str">
        <f>_xlfn.XLOOKUP(G45, CodeDescriptions!B:B, CodeDescriptions!C:C, "Unknown")</f>
        <v>EQUIPMENT - OTHER</v>
      </c>
    </row>
    <row r="46" spans="1:12" x14ac:dyDescent="0.2">
      <c r="A46">
        <v>45</v>
      </c>
      <c r="B46" s="1">
        <v>46000</v>
      </c>
      <c r="C46" s="2" t="s">
        <v>13</v>
      </c>
      <c r="D46" s="3">
        <v>0.38333333333333336</v>
      </c>
      <c r="E46" s="2" t="s">
        <v>52</v>
      </c>
      <c r="F46" s="2" t="s">
        <v>21</v>
      </c>
      <c r="G46" s="2" t="s">
        <v>39</v>
      </c>
      <c r="H46">
        <v>6</v>
      </c>
      <c r="I46">
        <v>12</v>
      </c>
      <c r="J46" s="2" t="s">
        <v>1</v>
      </c>
      <c r="K46">
        <v>6516</v>
      </c>
      <c r="L46" t="str">
        <f>_xlfn.XLOOKUP(G46, CodeDescriptions!B:B, CodeDescriptions!C:C, "Unknown")</f>
        <v>DOOR PROBLEMS (FAULTY EQUIPMENT)</v>
      </c>
    </row>
    <row r="47" spans="1:12" x14ac:dyDescent="0.2">
      <c r="A47">
        <v>46</v>
      </c>
      <c r="B47" s="1">
        <v>46000</v>
      </c>
      <c r="C47" s="2" t="s">
        <v>13</v>
      </c>
      <c r="D47" s="3">
        <v>0.54513888888888884</v>
      </c>
      <c r="E47" s="2" t="s">
        <v>52</v>
      </c>
      <c r="F47" s="2" t="s">
        <v>44</v>
      </c>
      <c r="G47" s="2" t="s">
        <v>29</v>
      </c>
      <c r="H47">
        <v>3</v>
      </c>
      <c r="I47">
        <v>9</v>
      </c>
      <c r="J47" s="2" t="s">
        <v>17</v>
      </c>
      <c r="K47">
        <v>6503</v>
      </c>
      <c r="L47" t="str">
        <f>_xlfn.XLOOKUP(G47, CodeDescriptions!B:B, CodeDescriptions!C:C, "Unknown")</f>
        <v>TRANSPORTATION OTHER</v>
      </c>
    </row>
    <row r="48" spans="1:12" x14ac:dyDescent="0.2">
      <c r="A48">
        <v>47</v>
      </c>
      <c r="B48" s="1">
        <v>46000</v>
      </c>
      <c r="C48" s="2" t="s">
        <v>13</v>
      </c>
      <c r="D48" s="3">
        <v>0.56527777777777777</v>
      </c>
      <c r="E48" s="2" t="s">
        <v>52</v>
      </c>
      <c r="F48" s="2" t="s">
        <v>25</v>
      </c>
      <c r="G48" s="2" t="s">
        <v>45</v>
      </c>
      <c r="H48">
        <v>0</v>
      </c>
      <c r="I48">
        <v>0</v>
      </c>
      <c r="J48" s="2" t="s">
        <v>17</v>
      </c>
      <c r="K48">
        <v>6509</v>
      </c>
      <c r="L48" t="str">
        <f>_xlfn.XLOOKUP(G48, CodeDescriptions!B:B, CodeDescriptions!C:C, "Unknown")</f>
        <v>OPERATOR OVERSPEED</v>
      </c>
    </row>
    <row r="49" spans="1:12" x14ac:dyDescent="0.2">
      <c r="A49">
        <v>48</v>
      </c>
      <c r="B49" s="1">
        <v>46000</v>
      </c>
      <c r="C49" s="2" t="s">
        <v>13</v>
      </c>
      <c r="D49" s="3">
        <v>0.63611111111111107</v>
      </c>
      <c r="E49" s="2" t="s">
        <v>52</v>
      </c>
      <c r="F49" s="2" t="s">
        <v>21</v>
      </c>
      <c r="G49" s="2" t="s">
        <v>54</v>
      </c>
      <c r="H49">
        <v>92</v>
      </c>
      <c r="I49">
        <v>98</v>
      </c>
      <c r="J49" s="2" t="s">
        <v>24</v>
      </c>
      <c r="K49">
        <v>0</v>
      </c>
      <c r="L49" t="str">
        <f>_xlfn.XLOOKUP(G49, CodeDescriptions!B:B, CodeDescriptions!C:C, "Unknown")</f>
        <v>TRACK SWITCH FAILURE</v>
      </c>
    </row>
    <row r="50" spans="1:12" x14ac:dyDescent="0.2">
      <c r="A50">
        <v>49</v>
      </c>
      <c r="B50" s="1">
        <v>46000</v>
      </c>
      <c r="C50" s="2" t="s">
        <v>13</v>
      </c>
      <c r="D50" s="3">
        <v>0.64583333333333337</v>
      </c>
      <c r="E50" s="2" t="s">
        <v>52</v>
      </c>
      <c r="F50" s="2" t="s">
        <v>37</v>
      </c>
      <c r="G50" s="2" t="s">
        <v>54</v>
      </c>
      <c r="H50">
        <v>45</v>
      </c>
      <c r="I50">
        <v>51</v>
      </c>
      <c r="J50" s="2" t="s">
        <v>17</v>
      </c>
      <c r="K50">
        <v>6515</v>
      </c>
      <c r="L50" t="str">
        <f>_xlfn.XLOOKUP(G50, CodeDescriptions!B:B, CodeDescriptions!C:C, "Unknown")</f>
        <v>TRACK SWITCH FAILURE</v>
      </c>
    </row>
    <row r="51" spans="1:12" x14ac:dyDescent="0.2">
      <c r="A51">
        <v>50</v>
      </c>
      <c r="B51" s="1">
        <v>46000</v>
      </c>
      <c r="C51" s="2" t="s">
        <v>13</v>
      </c>
      <c r="D51" s="3">
        <v>0.83611111111111114</v>
      </c>
      <c r="E51" s="2" t="s">
        <v>52</v>
      </c>
      <c r="F51" s="2" t="s">
        <v>15</v>
      </c>
      <c r="G51" s="2" t="s">
        <v>55</v>
      </c>
      <c r="H51">
        <v>0</v>
      </c>
      <c r="I51">
        <v>0</v>
      </c>
      <c r="J51" s="2" t="s">
        <v>24</v>
      </c>
      <c r="K51">
        <v>0</v>
      </c>
      <c r="L51" t="str">
        <f>_xlfn.XLOOKUP(G51, CodeDescriptions!B:B, CodeDescriptions!C:C, "Unknown")</f>
        <v>SECURITY OTHER</v>
      </c>
    </row>
    <row r="52" spans="1:12" x14ac:dyDescent="0.2">
      <c r="A52">
        <v>51</v>
      </c>
      <c r="B52" s="1">
        <v>46000</v>
      </c>
      <c r="C52" s="2" t="s">
        <v>13</v>
      </c>
      <c r="D52" s="3">
        <v>0.90833333333333333</v>
      </c>
      <c r="E52" s="2" t="s">
        <v>52</v>
      </c>
      <c r="F52" s="2" t="s">
        <v>50</v>
      </c>
      <c r="G52" s="2" t="s">
        <v>29</v>
      </c>
      <c r="H52">
        <v>10</v>
      </c>
      <c r="I52">
        <v>20</v>
      </c>
      <c r="J52" s="2" t="s">
        <v>17</v>
      </c>
      <c r="K52">
        <v>6515</v>
      </c>
      <c r="L52" t="str">
        <f>_xlfn.XLOOKUP(G52, CodeDescriptions!B:B, CodeDescriptions!C:C, "Unknown")</f>
        <v>TRANSPORTATION OTHER</v>
      </c>
    </row>
    <row r="53" spans="1:12" x14ac:dyDescent="0.2">
      <c r="A53">
        <v>52</v>
      </c>
      <c r="B53" s="1">
        <v>46000</v>
      </c>
      <c r="C53" s="2" t="s">
        <v>13</v>
      </c>
      <c r="D53" s="3">
        <v>0.93263888888888891</v>
      </c>
      <c r="E53" s="2" t="s">
        <v>52</v>
      </c>
      <c r="F53" s="2" t="s">
        <v>56</v>
      </c>
      <c r="G53" s="2" t="s">
        <v>26</v>
      </c>
      <c r="H53">
        <v>32</v>
      </c>
      <c r="I53">
        <v>42</v>
      </c>
      <c r="J53" s="2" t="s">
        <v>1</v>
      </c>
      <c r="K53">
        <v>6513</v>
      </c>
      <c r="L53" t="str">
        <f>_xlfn.XLOOKUP(G53, CodeDescriptions!B:B, CodeDescriptions!C:C, "Unknown")</f>
        <v>EQUIPMENT - OTHER</v>
      </c>
    </row>
    <row r="54" spans="1:12" x14ac:dyDescent="0.2">
      <c r="A54">
        <v>53</v>
      </c>
      <c r="B54" s="1">
        <v>46000</v>
      </c>
      <c r="C54" s="2" t="s">
        <v>13</v>
      </c>
      <c r="D54" s="3">
        <v>0.95833333333333337</v>
      </c>
      <c r="E54" s="2" t="s">
        <v>52</v>
      </c>
      <c r="F54" s="2" t="s">
        <v>57</v>
      </c>
      <c r="G54" s="2" t="s">
        <v>58</v>
      </c>
      <c r="H54">
        <v>0</v>
      </c>
      <c r="I54">
        <v>0</v>
      </c>
      <c r="J54" s="2" t="s">
        <v>24</v>
      </c>
      <c r="K54">
        <v>6516</v>
      </c>
      <c r="L54" t="str">
        <f>_xlfn.XLOOKUP(G54, CodeDescriptions!B:B, CodeDescriptions!C:C, "Unknown")</f>
        <v>Unknown</v>
      </c>
    </row>
    <row r="55" spans="1:12" x14ac:dyDescent="0.2">
      <c r="A55">
        <v>54</v>
      </c>
      <c r="B55" s="1">
        <v>46000</v>
      </c>
      <c r="C55" s="2" t="s">
        <v>13</v>
      </c>
      <c r="D55" s="3">
        <v>0.98055555555555551</v>
      </c>
      <c r="E55" s="2" t="s">
        <v>52</v>
      </c>
      <c r="F55" s="2" t="s">
        <v>15</v>
      </c>
      <c r="G55" s="2" t="s">
        <v>26</v>
      </c>
      <c r="H55">
        <v>0</v>
      </c>
      <c r="I55">
        <v>0</v>
      </c>
      <c r="J55" s="2" t="s">
        <v>17</v>
      </c>
      <c r="K55">
        <v>6513</v>
      </c>
      <c r="L55" t="str">
        <f>_xlfn.XLOOKUP(G55, CodeDescriptions!B:B, CodeDescriptions!C:C, "Unknown")</f>
        <v>EQUIPMENT - OTHER</v>
      </c>
    </row>
    <row r="56" spans="1:12" x14ac:dyDescent="0.2">
      <c r="A56">
        <v>55</v>
      </c>
      <c r="B56" s="1">
        <v>46001</v>
      </c>
      <c r="C56" s="2" t="s">
        <v>13</v>
      </c>
      <c r="D56" s="3">
        <v>0.20555555555555555</v>
      </c>
      <c r="E56" s="2" t="s">
        <v>59</v>
      </c>
      <c r="F56" s="2" t="s">
        <v>30</v>
      </c>
      <c r="G56" s="2" t="s">
        <v>26</v>
      </c>
      <c r="H56">
        <v>0</v>
      </c>
      <c r="I56">
        <v>0</v>
      </c>
      <c r="J56" s="2" t="s">
        <v>17</v>
      </c>
      <c r="K56">
        <v>6517</v>
      </c>
      <c r="L56" t="str">
        <f>_xlfn.XLOOKUP(G56, CodeDescriptions!B:B, CodeDescriptions!C:C, "Unknown")</f>
        <v>EQUIPMENT - OTHER</v>
      </c>
    </row>
    <row r="57" spans="1:12" x14ac:dyDescent="0.2">
      <c r="A57">
        <v>56</v>
      </c>
      <c r="B57" s="1">
        <v>46001</v>
      </c>
      <c r="C57" s="2" t="s">
        <v>13</v>
      </c>
      <c r="D57" s="3">
        <v>0.21736111111111112</v>
      </c>
      <c r="E57" s="2" t="s">
        <v>59</v>
      </c>
      <c r="F57" s="2" t="s">
        <v>30</v>
      </c>
      <c r="G57" s="2" t="s">
        <v>26</v>
      </c>
      <c r="H57">
        <v>0</v>
      </c>
      <c r="I57">
        <v>0</v>
      </c>
      <c r="J57" s="2" t="s">
        <v>17</v>
      </c>
      <c r="K57">
        <v>6503</v>
      </c>
      <c r="L57" t="str">
        <f>_xlfn.XLOOKUP(G57, CodeDescriptions!B:B, CodeDescriptions!C:C, "Unknown")</f>
        <v>EQUIPMENT - OTHER</v>
      </c>
    </row>
    <row r="58" spans="1:12" x14ac:dyDescent="0.2">
      <c r="A58">
        <v>57</v>
      </c>
      <c r="B58" s="1">
        <v>46001</v>
      </c>
      <c r="C58" s="2" t="s">
        <v>13</v>
      </c>
      <c r="D58" s="3">
        <v>0.28680555555555554</v>
      </c>
      <c r="E58" s="2" t="s">
        <v>59</v>
      </c>
      <c r="F58" s="2" t="s">
        <v>44</v>
      </c>
      <c r="G58" s="2" t="s">
        <v>26</v>
      </c>
      <c r="H58">
        <v>0</v>
      </c>
      <c r="I58">
        <v>0</v>
      </c>
      <c r="J58" s="2" t="s">
        <v>1</v>
      </c>
      <c r="K58">
        <v>6502</v>
      </c>
      <c r="L58" t="str">
        <f>_xlfn.XLOOKUP(G58, CodeDescriptions!B:B, CodeDescriptions!C:C, "Unknown")</f>
        <v>EQUIPMENT - OTHER</v>
      </c>
    </row>
    <row r="59" spans="1:12" x14ac:dyDescent="0.2">
      <c r="A59">
        <v>58</v>
      </c>
      <c r="B59" s="1">
        <v>46001</v>
      </c>
      <c r="C59" s="2" t="s">
        <v>13</v>
      </c>
      <c r="D59" s="3">
        <v>0.30902777777777779</v>
      </c>
      <c r="E59" s="2" t="s">
        <v>59</v>
      </c>
      <c r="F59" s="2" t="s">
        <v>44</v>
      </c>
      <c r="G59" s="2" t="s">
        <v>26</v>
      </c>
      <c r="H59">
        <v>6</v>
      </c>
      <c r="I59">
        <v>12</v>
      </c>
      <c r="J59" s="2" t="s">
        <v>1</v>
      </c>
      <c r="K59">
        <v>6513</v>
      </c>
      <c r="L59" t="str">
        <f>_xlfn.XLOOKUP(G59, CodeDescriptions!B:B, CodeDescriptions!C:C, "Unknown")</f>
        <v>EQUIPMENT - OTHER</v>
      </c>
    </row>
    <row r="60" spans="1:12" x14ac:dyDescent="0.2">
      <c r="A60">
        <v>59</v>
      </c>
      <c r="B60" s="1">
        <v>46001</v>
      </c>
      <c r="C60" s="2" t="s">
        <v>13</v>
      </c>
      <c r="D60" s="3">
        <v>0.3611111111111111</v>
      </c>
      <c r="E60" s="2" t="s">
        <v>59</v>
      </c>
      <c r="F60" s="2" t="s">
        <v>44</v>
      </c>
      <c r="G60" s="2" t="s">
        <v>38</v>
      </c>
      <c r="H60">
        <v>15</v>
      </c>
      <c r="I60">
        <v>21</v>
      </c>
      <c r="J60" s="2" t="s">
        <v>1</v>
      </c>
      <c r="K60">
        <v>6507</v>
      </c>
      <c r="L60" t="str">
        <f>_xlfn.XLOOKUP(G60, CodeDescriptions!B:B, CodeDescriptions!C:C, "Unknown")</f>
        <v>UNABLE TO MAINT SCHED DUE TO TRAFFIC/PASSENGER CONGESTION</v>
      </c>
    </row>
    <row r="61" spans="1:12" x14ac:dyDescent="0.2">
      <c r="A61">
        <v>60</v>
      </c>
      <c r="B61" s="1">
        <v>46001</v>
      </c>
      <c r="C61" s="2" t="s">
        <v>13</v>
      </c>
      <c r="D61" s="3">
        <v>0.37708333333333333</v>
      </c>
      <c r="E61" s="2" t="s">
        <v>59</v>
      </c>
      <c r="F61" s="2" t="s">
        <v>25</v>
      </c>
      <c r="G61" s="2" t="s">
        <v>60</v>
      </c>
      <c r="H61">
        <v>15</v>
      </c>
      <c r="I61">
        <v>21</v>
      </c>
      <c r="J61" s="2" t="s">
        <v>24</v>
      </c>
      <c r="K61">
        <v>0</v>
      </c>
      <c r="L61" t="str">
        <f>_xlfn.XLOOKUP(G61, CodeDescriptions!B:B, CodeDescriptions!C:C, "Unknown")</f>
        <v>ICE-/SNOW-RELATED PROBLEM</v>
      </c>
    </row>
    <row r="62" spans="1:12" x14ac:dyDescent="0.2">
      <c r="A62">
        <v>61</v>
      </c>
      <c r="B62" s="1">
        <v>46001</v>
      </c>
      <c r="C62" s="2" t="s">
        <v>13</v>
      </c>
      <c r="D62" s="3">
        <v>0.48541666666666666</v>
      </c>
      <c r="E62" s="2" t="s">
        <v>59</v>
      </c>
      <c r="F62" s="2" t="s">
        <v>15</v>
      </c>
      <c r="G62" s="2" t="s">
        <v>36</v>
      </c>
      <c r="H62">
        <v>0</v>
      </c>
      <c r="I62">
        <v>0</v>
      </c>
      <c r="J62" s="2" t="s">
        <v>17</v>
      </c>
      <c r="K62">
        <v>0</v>
      </c>
      <c r="L62" t="str">
        <f>_xlfn.XLOOKUP(G62, CodeDescriptions!B:B, CodeDescriptions!C:C, "Unknown")</f>
        <v>INJURED/ILL CUSTOMER IN STATION/STOP – TRANSPORTED</v>
      </c>
    </row>
    <row r="63" spans="1:12" x14ac:dyDescent="0.2">
      <c r="A63">
        <v>62</v>
      </c>
      <c r="B63" s="1">
        <v>46001</v>
      </c>
      <c r="C63" s="2" t="s">
        <v>13</v>
      </c>
      <c r="D63" s="3">
        <v>0.51944444444444449</v>
      </c>
      <c r="E63" s="2" t="s">
        <v>59</v>
      </c>
      <c r="F63" s="2" t="s">
        <v>61</v>
      </c>
      <c r="G63" s="2" t="s">
        <v>45</v>
      </c>
      <c r="H63">
        <v>0</v>
      </c>
      <c r="I63">
        <v>0</v>
      </c>
      <c r="J63" s="2" t="s">
        <v>1</v>
      </c>
      <c r="K63">
        <v>6504</v>
      </c>
      <c r="L63" t="str">
        <f>_xlfn.XLOOKUP(G63, CodeDescriptions!B:B, CodeDescriptions!C:C, "Unknown")</f>
        <v>OPERATOR OVERSPEED</v>
      </c>
    </row>
    <row r="64" spans="1:12" x14ac:dyDescent="0.2">
      <c r="A64">
        <v>63</v>
      </c>
      <c r="B64" s="1">
        <v>46001</v>
      </c>
      <c r="C64" s="2" t="s">
        <v>13</v>
      </c>
      <c r="D64" s="3">
        <v>0.54513888888888884</v>
      </c>
      <c r="E64" s="2" t="s">
        <v>59</v>
      </c>
      <c r="F64" s="2" t="s">
        <v>62</v>
      </c>
      <c r="G64" s="2" t="s">
        <v>54</v>
      </c>
      <c r="H64">
        <v>5</v>
      </c>
      <c r="I64">
        <v>15</v>
      </c>
      <c r="J64" s="2" t="s">
        <v>1</v>
      </c>
      <c r="K64">
        <v>6517</v>
      </c>
      <c r="L64" t="str">
        <f>_xlfn.XLOOKUP(G64, CodeDescriptions!B:B, CodeDescriptions!C:C, "Unknown")</f>
        <v>TRACK SWITCH FAILURE</v>
      </c>
    </row>
    <row r="65" spans="1:12" x14ac:dyDescent="0.2">
      <c r="A65">
        <v>64</v>
      </c>
      <c r="B65" s="1">
        <v>46001</v>
      </c>
      <c r="C65" s="2" t="s">
        <v>13</v>
      </c>
      <c r="D65" s="3">
        <v>0.57013888888888886</v>
      </c>
      <c r="E65" s="2" t="s">
        <v>59</v>
      </c>
      <c r="F65" s="2" t="s">
        <v>15</v>
      </c>
      <c r="G65" s="2" t="s">
        <v>36</v>
      </c>
      <c r="H65">
        <v>0</v>
      </c>
      <c r="I65">
        <v>0</v>
      </c>
      <c r="J65" s="2" t="s">
        <v>24</v>
      </c>
      <c r="K65">
        <v>6154</v>
      </c>
      <c r="L65" t="str">
        <f>_xlfn.XLOOKUP(G65, CodeDescriptions!B:B, CodeDescriptions!C:C, "Unknown")</f>
        <v>INJURED/ILL CUSTOMER IN STATION/STOP – TRANSPORTED</v>
      </c>
    </row>
    <row r="66" spans="1:12" x14ac:dyDescent="0.2">
      <c r="A66">
        <v>65</v>
      </c>
      <c r="B66" s="1">
        <v>46001</v>
      </c>
      <c r="C66" s="2" t="s">
        <v>13</v>
      </c>
      <c r="D66" s="3">
        <v>0.7583333333333333</v>
      </c>
      <c r="E66" s="2" t="s">
        <v>59</v>
      </c>
      <c r="F66" s="2" t="s">
        <v>63</v>
      </c>
      <c r="G66" s="2" t="s">
        <v>29</v>
      </c>
      <c r="H66">
        <v>10</v>
      </c>
      <c r="I66">
        <v>20</v>
      </c>
      <c r="J66" s="2" t="s">
        <v>1</v>
      </c>
      <c r="K66">
        <v>6506</v>
      </c>
      <c r="L66" t="str">
        <f>_xlfn.XLOOKUP(G66, CodeDescriptions!B:B, CodeDescriptions!C:C, "Unknown")</f>
        <v>TRANSPORTATION OTHER</v>
      </c>
    </row>
    <row r="67" spans="1:12" x14ac:dyDescent="0.2">
      <c r="A67">
        <v>66</v>
      </c>
      <c r="B67" s="1">
        <v>46001</v>
      </c>
      <c r="C67" s="2" t="s">
        <v>13</v>
      </c>
      <c r="D67" s="3">
        <v>0.76111111111111107</v>
      </c>
      <c r="E67" s="2" t="s">
        <v>59</v>
      </c>
      <c r="F67" s="2" t="s">
        <v>64</v>
      </c>
      <c r="G67" s="2" t="s">
        <v>65</v>
      </c>
      <c r="H67">
        <v>6</v>
      </c>
      <c r="I67">
        <v>12</v>
      </c>
      <c r="J67" s="2" t="s">
        <v>1</v>
      </c>
      <c r="K67">
        <v>6503</v>
      </c>
      <c r="L67" t="str">
        <f>_xlfn.XLOOKUP(G67, CodeDescriptions!B:B, CodeDescriptions!C:C, "Unknown")</f>
        <v>AUTO FOUL RAIL</v>
      </c>
    </row>
    <row r="68" spans="1:12" x14ac:dyDescent="0.2">
      <c r="A68">
        <v>67</v>
      </c>
      <c r="B68" s="1">
        <v>46001</v>
      </c>
      <c r="C68" s="2" t="s">
        <v>13</v>
      </c>
      <c r="D68" s="3">
        <v>0.82430555555555551</v>
      </c>
      <c r="E68" s="2" t="s">
        <v>59</v>
      </c>
      <c r="F68" s="2" t="s">
        <v>66</v>
      </c>
      <c r="G68" s="2" t="s">
        <v>54</v>
      </c>
      <c r="H68">
        <v>0</v>
      </c>
      <c r="I68">
        <v>0</v>
      </c>
      <c r="J68" s="2" t="s">
        <v>24</v>
      </c>
      <c r="K68">
        <v>0</v>
      </c>
      <c r="L68" t="str">
        <f>_xlfn.XLOOKUP(G68, CodeDescriptions!B:B, CodeDescriptions!C:C, "Unknown")</f>
        <v>TRACK SWITCH FAILURE</v>
      </c>
    </row>
    <row r="69" spans="1:12" x14ac:dyDescent="0.2">
      <c r="A69">
        <v>68</v>
      </c>
      <c r="B69" s="1">
        <v>46001</v>
      </c>
      <c r="C69" s="2" t="s">
        <v>13</v>
      </c>
      <c r="D69" s="3">
        <v>0.86944444444444446</v>
      </c>
      <c r="E69" s="2" t="s">
        <v>59</v>
      </c>
      <c r="F69" s="2" t="s">
        <v>28</v>
      </c>
      <c r="G69" s="2" t="s">
        <v>67</v>
      </c>
      <c r="H69">
        <v>0</v>
      </c>
      <c r="I69">
        <v>0</v>
      </c>
      <c r="J69" s="2" t="s">
        <v>1</v>
      </c>
      <c r="K69">
        <v>6515</v>
      </c>
      <c r="L69" t="str">
        <f>_xlfn.XLOOKUP(G69, CodeDescriptions!B:B, CodeDescriptions!C:C, "Unknown")</f>
        <v>HIGH VOLTAGE</v>
      </c>
    </row>
    <row r="70" spans="1:12" x14ac:dyDescent="0.2">
      <c r="A70">
        <v>69</v>
      </c>
      <c r="B70" s="1">
        <v>46001</v>
      </c>
      <c r="C70" s="2" t="s">
        <v>13</v>
      </c>
      <c r="D70" s="3">
        <v>0.88749999999999996</v>
      </c>
      <c r="E70" s="2" t="s">
        <v>59</v>
      </c>
      <c r="F70" s="2" t="s">
        <v>21</v>
      </c>
      <c r="G70" s="2" t="s">
        <v>68</v>
      </c>
      <c r="H70">
        <v>100</v>
      </c>
      <c r="I70">
        <v>110</v>
      </c>
      <c r="J70" s="2" t="s">
        <v>24</v>
      </c>
      <c r="K70">
        <v>0</v>
      </c>
      <c r="L70" t="str">
        <f>_xlfn.XLOOKUP(G70, CodeDescriptions!B:B, CodeDescriptions!C:C, "Unknown")</f>
        <v>SIGNALS-/TRACK-/WEATHER-RELATED ISSUES</v>
      </c>
    </row>
    <row r="71" spans="1:12" x14ac:dyDescent="0.2">
      <c r="A71">
        <v>70</v>
      </c>
      <c r="B71" s="1">
        <v>46001</v>
      </c>
      <c r="C71" s="2" t="s">
        <v>13</v>
      </c>
      <c r="D71" s="3">
        <v>0.89583333333333337</v>
      </c>
      <c r="E71" s="2" t="s">
        <v>59</v>
      </c>
      <c r="F71" s="2" t="s">
        <v>47</v>
      </c>
      <c r="G71" s="2" t="s">
        <v>68</v>
      </c>
      <c r="H71">
        <v>100</v>
      </c>
      <c r="I71">
        <v>110</v>
      </c>
      <c r="J71" s="2" t="s">
        <v>24</v>
      </c>
      <c r="K71">
        <v>0</v>
      </c>
      <c r="L71" t="str">
        <f>_xlfn.XLOOKUP(G71, CodeDescriptions!B:B, CodeDescriptions!C:C, "Unknown")</f>
        <v>SIGNALS-/TRACK-/WEATHER-RELATED ISSUES</v>
      </c>
    </row>
    <row r="72" spans="1:12" x14ac:dyDescent="0.2">
      <c r="A72">
        <v>71</v>
      </c>
      <c r="B72" s="1">
        <v>46002</v>
      </c>
      <c r="C72" s="2" t="s">
        <v>13</v>
      </c>
      <c r="D72" s="3">
        <v>0.22152777777777777</v>
      </c>
      <c r="E72" s="2" t="s">
        <v>69</v>
      </c>
      <c r="F72" s="2" t="s">
        <v>66</v>
      </c>
      <c r="G72" s="2" t="s">
        <v>54</v>
      </c>
      <c r="H72">
        <v>46</v>
      </c>
      <c r="I72">
        <v>51</v>
      </c>
      <c r="J72" s="2" t="s">
        <v>17</v>
      </c>
      <c r="K72">
        <v>6505</v>
      </c>
      <c r="L72" t="str">
        <f>_xlfn.XLOOKUP(G72, CodeDescriptions!B:B, CodeDescriptions!C:C, "Unknown")</f>
        <v>TRACK SWITCH FAILURE</v>
      </c>
    </row>
    <row r="73" spans="1:12" x14ac:dyDescent="0.2">
      <c r="A73">
        <v>72</v>
      </c>
      <c r="B73" s="1">
        <v>46002</v>
      </c>
      <c r="C73" s="2" t="s">
        <v>13</v>
      </c>
      <c r="D73" s="3">
        <v>0.26458333333333334</v>
      </c>
      <c r="E73" s="2" t="s">
        <v>69</v>
      </c>
      <c r="F73" s="2" t="s">
        <v>21</v>
      </c>
      <c r="G73" s="2" t="s">
        <v>54</v>
      </c>
      <c r="H73">
        <v>93</v>
      </c>
      <c r="I73">
        <v>105</v>
      </c>
      <c r="J73" s="2" t="s">
        <v>24</v>
      </c>
      <c r="K73">
        <v>0</v>
      </c>
      <c r="L73" t="str">
        <f>_xlfn.XLOOKUP(G73, CodeDescriptions!B:B, CodeDescriptions!C:C, "Unknown")</f>
        <v>TRACK SWITCH FAILURE</v>
      </c>
    </row>
    <row r="74" spans="1:12" x14ac:dyDescent="0.2">
      <c r="A74">
        <v>73</v>
      </c>
      <c r="B74" s="1">
        <v>46002</v>
      </c>
      <c r="C74" s="2" t="s">
        <v>13</v>
      </c>
      <c r="D74" s="3">
        <v>0.32430555555555557</v>
      </c>
      <c r="E74" s="2" t="s">
        <v>69</v>
      </c>
      <c r="F74" s="2" t="s">
        <v>70</v>
      </c>
      <c r="G74" s="2" t="s">
        <v>71</v>
      </c>
      <c r="H74">
        <v>6</v>
      </c>
      <c r="I74">
        <v>12</v>
      </c>
      <c r="J74" s="2" t="s">
        <v>1</v>
      </c>
      <c r="K74">
        <v>0</v>
      </c>
      <c r="L74" t="str">
        <f>_xlfn.XLOOKUP(G74, CodeDescriptions!B:B, CodeDescriptions!C:C, "Unknown")</f>
        <v>NO EQUIPMENT AVAILABLE</v>
      </c>
    </row>
    <row r="75" spans="1:12" x14ac:dyDescent="0.2">
      <c r="A75">
        <v>74</v>
      </c>
      <c r="B75" s="1">
        <v>46002</v>
      </c>
      <c r="C75" s="2" t="s">
        <v>13</v>
      </c>
      <c r="D75" s="3">
        <v>0.32500000000000001</v>
      </c>
      <c r="E75" s="2" t="s">
        <v>69</v>
      </c>
      <c r="F75" s="2" t="s">
        <v>34</v>
      </c>
      <c r="G75" s="2" t="s">
        <v>26</v>
      </c>
      <c r="H75">
        <v>0</v>
      </c>
      <c r="I75">
        <v>0</v>
      </c>
      <c r="J75" s="2" t="s">
        <v>1</v>
      </c>
      <c r="K75">
        <v>6501</v>
      </c>
      <c r="L75" t="str">
        <f>_xlfn.XLOOKUP(G75, CodeDescriptions!B:B, CodeDescriptions!C:C, "Unknown")</f>
        <v>EQUIPMENT - OTHER</v>
      </c>
    </row>
    <row r="76" spans="1:12" x14ac:dyDescent="0.2">
      <c r="A76">
        <v>75</v>
      </c>
      <c r="B76" s="1">
        <v>46002</v>
      </c>
      <c r="C76" s="2" t="s">
        <v>13</v>
      </c>
      <c r="D76" s="3">
        <v>0.38958333333333334</v>
      </c>
      <c r="E76" s="2" t="s">
        <v>69</v>
      </c>
      <c r="F76" s="2" t="s">
        <v>50</v>
      </c>
      <c r="G76" s="2" t="s">
        <v>26</v>
      </c>
      <c r="H76">
        <v>0</v>
      </c>
      <c r="I76">
        <v>0</v>
      </c>
      <c r="J76" s="2" t="s">
        <v>1</v>
      </c>
      <c r="K76">
        <v>6506</v>
      </c>
      <c r="L76" t="str">
        <f>_xlfn.XLOOKUP(G76, CodeDescriptions!B:B, CodeDescriptions!C:C, "Unknown")</f>
        <v>EQUIPMENT - OTHER</v>
      </c>
    </row>
    <row r="77" spans="1:12" x14ac:dyDescent="0.2">
      <c r="A77">
        <v>76</v>
      </c>
      <c r="B77" s="1">
        <v>46002</v>
      </c>
      <c r="C77" s="2" t="s">
        <v>13</v>
      </c>
      <c r="D77" s="3">
        <v>0.44305555555555554</v>
      </c>
      <c r="E77" s="2" t="s">
        <v>69</v>
      </c>
      <c r="F77" s="2" t="s">
        <v>21</v>
      </c>
      <c r="G77" s="2" t="s">
        <v>72</v>
      </c>
      <c r="H77">
        <v>0</v>
      </c>
      <c r="I77">
        <v>0</v>
      </c>
      <c r="J77" s="2" t="s">
        <v>1</v>
      </c>
      <c r="K77">
        <v>6515</v>
      </c>
      <c r="L77" t="str">
        <f>_xlfn.XLOOKUP(G77, CodeDescriptions!B:B, CodeDescriptions!C:C, "Unknown")</f>
        <v>INJURED TTC EMPLOYEE</v>
      </c>
    </row>
    <row r="78" spans="1:12" x14ac:dyDescent="0.2">
      <c r="A78">
        <v>77</v>
      </c>
      <c r="B78" s="1">
        <v>46002</v>
      </c>
      <c r="C78" s="2" t="s">
        <v>13</v>
      </c>
      <c r="D78" s="3">
        <v>0.47916666666666669</v>
      </c>
      <c r="E78" s="2" t="s">
        <v>69</v>
      </c>
      <c r="F78" s="2" t="s">
        <v>21</v>
      </c>
      <c r="G78" s="2" t="s">
        <v>73</v>
      </c>
      <c r="H78">
        <v>6</v>
      </c>
      <c r="I78">
        <v>12</v>
      </c>
      <c r="J78" s="2" t="s">
        <v>1</v>
      </c>
      <c r="K78">
        <v>6508</v>
      </c>
      <c r="L78" t="str">
        <f>_xlfn.XLOOKUP(G78, CodeDescriptions!B:B, CodeDescriptions!C:C, "Unknown")</f>
        <v>COMMUNICATION EQUIPMENT (INCLUDES STOP ANNOUNCEMENT)</v>
      </c>
    </row>
    <row r="79" spans="1:12" x14ac:dyDescent="0.2">
      <c r="A79">
        <v>78</v>
      </c>
      <c r="B79" s="1">
        <v>46002</v>
      </c>
      <c r="C79" s="2" t="s">
        <v>13</v>
      </c>
      <c r="D79" s="3">
        <v>0.62986111111111109</v>
      </c>
      <c r="E79" s="2" t="s">
        <v>69</v>
      </c>
      <c r="F79" s="2" t="s">
        <v>35</v>
      </c>
      <c r="G79" s="2" t="s">
        <v>38</v>
      </c>
      <c r="H79">
        <v>10</v>
      </c>
      <c r="I79">
        <v>16</v>
      </c>
      <c r="J79" s="2" t="s">
        <v>17</v>
      </c>
      <c r="K79">
        <v>6501</v>
      </c>
      <c r="L79" t="str">
        <f>_xlfn.XLOOKUP(G79, CodeDescriptions!B:B, CodeDescriptions!C:C, "Unknown")</f>
        <v>UNABLE TO MAINT SCHED DUE TO TRAFFIC/PASSENGER CONGESTION</v>
      </c>
    </row>
    <row r="80" spans="1:12" x14ac:dyDescent="0.2">
      <c r="A80">
        <v>79</v>
      </c>
      <c r="B80" s="1">
        <v>46002</v>
      </c>
      <c r="C80" s="2" t="s">
        <v>13</v>
      </c>
      <c r="D80" s="3">
        <v>0.64027777777777772</v>
      </c>
      <c r="E80" s="2" t="s">
        <v>69</v>
      </c>
      <c r="F80" s="2" t="s">
        <v>15</v>
      </c>
      <c r="G80" s="2" t="s">
        <v>73</v>
      </c>
      <c r="H80">
        <v>6</v>
      </c>
      <c r="I80">
        <v>12</v>
      </c>
      <c r="J80" s="2" t="s">
        <v>24</v>
      </c>
      <c r="K80">
        <v>6517</v>
      </c>
      <c r="L80" t="str">
        <f>_xlfn.XLOOKUP(G80, CodeDescriptions!B:B, CodeDescriptions!C:C, "Unknown")</f>
        <v>COMMUNICATION EQUIPMENT (INCLUDES STOP ANNOUNCEMENT)</v>
      </c>
    </row>
    <row r="81" spans="1:12" x14ac:dyDescent="0.2">
      <c r="A81">
        <v>80</v>
      </c>
      <c r="B81" s="1">
        <v>46002</v>
      </c>
      <c r="C81" s="2" t="s">
        <v>13</v>
      </c>
      <c r="D81" s="3">
        <v>0.65347222222222223</v>
      </c>
      <c r="E81" s="2" t="s">
        <v>69</v>
      </c>
      <c r="F81" s="2" t="s">
        <v>44</v>
      </c>
      <c r="G81" s="2" t="s">
        <v>71</v>
      </c>
      <c r="H81">
        <v>6</v>
      </c>
      <c r="I81">
        <v>12</v>
      </c>
      <c r="J81" s="2" t="s">
        <v>1</v>
      </c>
      <c r="K81">
        <v>0</v>
      </c>
      <c r="L81" t="str">
        <f>_xlfn.XLOOKUP(G81, CodeDescriptions!B:B, CodeDescriptions!C:C, "Unknown")</f>
        <v>NO EQUIPMENT AVAILABLE</v>
      </c>
    </row>
    <row r="82" spans="1:12" x14ac:dyDescent="0.2">
      <c r="A82">
        <v>81</v>
      </c>
      <c r="B82" s="1">
        <v>46002</v>
      </c>
      <c r="C82" s="2" t="s">
        <v>13</v>
      </c>
      <c r="D82" s="3">
        <v>0.76458333333333328</v>
      </c>
      <c r="E82" s="2" t="s">
        <v>69</v>
      </c>
      <c r="F82" s="2" t="s">
        <v>62</v>
      </c>
      <c r="G82" s="2" t="s">
        <v>38</v>
      </c>
      <c r="H82">
        <v>15</v>
      </c>
      <c r="I82">
        <v>21</v>
      </c>
      <c r="J82" s="2" t="s">
        <v>1</v>
      </c>
      <c r="K82">
        <v>6508</v>
      </c>
      <c r="L82" t="str">
        <f>_xlfn.XLOOKUP(G82, CodeDescriptions!B:B, CodeDescriptions!C:C, "Unknown")</f>
        <v>UNABLE TO MAINT SCHED DUE TO TRAFFIC/PASSENGER CONGESTION</v>
      </c>
    </row>
    <row r="83" spans="1:12" x14ac:dyDescent="0.2">
      <c r="A83">
        <v>82</v>
      </c>
      <c r="B83" s="1">
        <v>46002</v>
      </c>
      <c r="C83" s="2" t="s">
        <v>13</v>
      </c>
      <c r="D83" s="3">
        <v>0.85555555555555551</v>
      </c>
      <c r="E83" s="2" t="s">
        <v>69</v>
      </c>
      <c r="F83" s="2" t="s">
        <v>62</v>
      </c>
      <c r="G83" s="2" t="s">
        <v>38</v>
      </c>
      <c r="H83">
        <v>15</v>
      </c>
      <c r="I83">
        <v>25</v>
      </c>
      <c r="J83" s="2" t="s">
        <v>1</v>
      </c>
      <c r="K83">
        <v>6506</v>
      </c>
      <c r="L83" t="str">
        <f>_xlfn.XLOOKUP(G83, CodeDescriptions!B:B, CodeDescriptions!C:C, "Unknown")</f>
        <v>UNABLE TO MAINT SCHED DUE TO TRAFFIC/PASSENGER CONGESTION</v>
      </c>
    </row>
    <row r="84" spans="1:12" x14ac:dyDescent="0.2">
      <c r="A84">
        <v>83</v>
      </c>
      <c r="B84" s="1">
        <v>46002</v>
      </c>
      <c r="C84" s="2" t="s">
        <v>13</v>
      </c>
      <c r="D84" s="3">
        <v>0.89375000000000004</v>
      </c>
      <c r="E84" s="2" t="s">
        <v>69</v>
      </c>
      <c r="F84" s="2" t="s">
        <v>44</v>
      </c>
      <c r="G84" s="2" t="s">
        <v>26</v>
      </c>
      <c r="H84">
        <v>0</v>
      </c>
      <c r="I84">
        <v>0</v>
      </c>
      <c r="J84" s="2" t="s">
        <v>17</v>
      </c>
      <c r="K84">
        <v>6514</v>
      </c>
      <c r="L84" t="str">
        <f>_xlfn.XLOOKUP(G84, CodeDescriptions!B:B, CodeDescriptions!C:C, "Unknown")</f>
        <v>EQUIPMENT - OTHER</v>
      </c>
    </row>
    <row r="85" spans="1:12" x14ac:dyDescent="0.2">
      <c r="A85">
        <v>84</v>
      </c>
      <c r="B85" s="1">
        <v>46002</v>
      </c>
      <c r="C85" s="2" t="s">
        <v>13</v>
      </c>
      <c r="D85" s="3">
        <v>0.93402777777777779</v>
      </c>
      <c r="E85" s="2" t="s">
        <v>69</v>
      </c>
      <c r="F85" s="2" t="s">
        <v>21</v>
      </c>
      <c r="G85" s="2" t="s">
        <v>74</v>
      </c>
      <c r="H85">
        <v>0</v>
      </c>
      <c r="I85">
        <v>0</v>
      </c>
      <c r="J85" s="2" t="s">
        <v>1</v>
      </c>
      <c r="K85">
        <v>6513</v>
      </c>
      <c r="L85" t="str">
        <f>_xlfn.XLOOKUP(G85, CodeDescriptions!B:B, CodeDescriptions!C:C, "Unknown")</f>
        <v>GIDS ACTIVATION</v>
      </c>
    </row>
    <row r="86" spans="1:12" x14ac:dyDescent="0.2">
      <c r="A86">
        <v>85</v>
      </c>
      <c r="B86" s="1">
        <v>46003</v>
      </c>
      <c r="C86" s="2" t="s">
        <v>13</v>
      </c>
      <c r="D86" s="3">
        <v>0.21527777777777779</v>
      </c>
      <c r="E86" s="2" t="s">
        <v>75</v>
      </c>
      <c r="F86" s="2" t="s">
        <v>44</v>
      </c>
      <c r="G86" s="2" t="s">
        <v>20</v>
      </c>
      <c r="H86">
        <v>0</v>
      </c>
      <c r="I86">
        <v>0</v>
      </c>
      <c r="J86" s="2" t="s">
        <v>1</v>
      </c>
      <c r="K86">
        <v>6506</v>
      </c>
      <c r="L86" t="str">
        <f>_xlfn.XLOOKUP(G86, CodeDescriptions!B:B, CodeDescriptions!C:C, "Unknown")</f>
        <v>BRAKES</v>
      </c>
    </row>
    <row r="87" spans="1:12" x14ac:dyDescent="0.2">
      <c r="A87">
        <v>86</v>
      </c>
      <c r="B87" s="1">
        <v>46003</v>
      </c>
      <c r="C87" s="2" t="s">
        <v>13</v>
      </c>
      <c r="D87" s="3">
        <v>0.22013888888888888</v>
      </c>
      <c r="E87" s="2" t="s">
        <v>75</v>
      </c>
      <c r="F87" s="2" t="s">
        <v>34</v>
      </c>
      <c r="G87" s="2" t="s">
        <v>76</v>
      </c>
      <c r="H87">
        <v>4</v>
      </c>
      <c r="I87">
        <v>14</v>
      </c>
      <c r="J87" s="2" t="s">
        <v>17</v>
      </c>
      <c r="K87">
        <v>6515</v>
      </c>
      <c r="L87" t="str">
        <f>_xlfn.XLOOKUP(G87, CodeDescriptions!B:B, CodeDescriptions!C:C, "Unknown")</f>
        <v>TRANSIT CONTROL RELATED – LRT CONTROLLER ERROR</v>
      </c>
    </row>
    <row r="88" spans="1:12" x14ac:dyDescent="0.2">
      <c r="A88">
        <v>87</v>
      </c>
      <c r="B88" s="1">
        <v>46003</v>
      </c>
      <c r="C88" s="2" t="s">
        <v>13</v>
      </c>
      <c r="D88" s="3">
        <v>0.24444444444444444</v>
      </c>
      <c r="E88" s="2" t="s">
        <v>75</v>
      </c>
      <c r="F88" s="2" t="s">
        <v>64</v>
      </c>
      <c r="G88" s="2" t="s">
        <v>20</v>
      </c>
      <c r="H88">
        <v>4</v>
      </c>
      <c r="I88">
        <v>16</v>
      </c>
      <c r="J88" s="2" t="s">
        <v>17</v>
      </c>
      <c r="K88">
        <v>73</v>
      </c>
      <c r="L88" t="str">
        <f>_xlfn.XLOOKUP(G88, CodeDescriptions!B:B, CodeDescriptions!C:C, "Unknown")</f>
        <v>BRAKES</v>
      </c>
    </row>
    <row r="89" spans="1:12" x14ac:dyDescent="0.2">
      <c r="A89">
        <v>88</v>
      </c>
      <c r="B89" s="1">
        <v>46003</v>
      </c>
      <c r="C89" s="2" t="s">
        <v>13</v>
      </c>
      <c r="D89" s="3">
        <v>0.24722222222222223</v>
      </c>
      <c r="E89" s="2" t="s">
        <v>75</v>
      </c>
      <c r="F89" s="2" t="s">
        <v>21</v>
      </c>
      <c r="G89" s="2" t="s">
        <v>73</v>
      </c>
      <c r="H89">
        <v>10</v>
      </c>
      <c r="I89">
        <v>20</v>
      </c>
      <c r="J89" s="2" t="s">
        <v>1</v>
      </c>
      <c r="K89">
        <v>6508</v>
      </c>
      <c r="L89" t="str">
        <f>_xlfn.XLOOKUP(G89, CodeDescriptions!B:B, CodeDescriptions!C:C, "Unknown")</f>
        <v>COMMUNICATION EQUIPMENT (INCLUDES STOP ANNOUNCEMENT)</v>
      </c>
    </row>
    <row r="90" spans="1:12" x14ac:dyDescent="0.2">
      <c r="A90">
        <v>89</v>
      </c>
      <c r="B90" s="1">
        <v>46003</v>
      </c>
      <c r="C90" s="2" t="s">
        <v>13</v>
      </c>
      <c r="D90" s="3">
        <v>0.30902777777777779</v>
      </c>
      <c r="E90" s="2" t="s">
        <v>75</v>
      </c>
      <c r="F90" s="2" t="s">
        <v>77</v>
      </c>
      <c r="G90" s="2" t="s">
        <v>71</v>
      </c>
      <c r="H90">
        <v>0</v>
      </c>
      <c r="I90">
        <v>0</v>
      </c>
      <c r="J90" s="2" t="s">
        <v>1</v>
      </c>
      <c r="K90">
        <v>6502</v>
      </c>
      <c r="L90" t="str">
        <f>_xlfn.XLOOKUP(G90, CodeDescriptions!B:B, CodeDescriptions!C:C, "Unknown")</f>
        <v>NO EQUIPMENT AVAILABLE</v>
      </c>
    </row>
    <row r="91" spans="1:12" x14ac:dyDescent="0.2">
      <c r="A91">
        <v>90</v>
      </c>
      <c r="B91" s="1">
        <v>46003</v>
      </c>
      <c r="C91" s="2" t="s">
        <v>13</v>
      </c>
      <c r="D91" s="3">
        <v>0.32430555555555557</v>
      </c>
      <c r="E91" s="2" t="s">
        <v>75</v>
      </c>
      <c r="F91" s="2" t="s">
        <v>70</v>
      </c>
      <c r="G91" s="2" t="s">
        <v>71</v>
      </c>
      <c r="H91">
        <v>0</v>
      </c>
      <c r="I91">
        <v>0</v>
      </c>
      <c r="J91" s="2" t="s">
        <v>1</v>
      </c>
      <c r="K91">
        <v>0</v>
      </c>
      <c r="L91" t="str">
        <f>_xlfn.XLOOKUP(G91, CodeDescriptions!B:B, CodeDescriptions!C:C, "Unknown")</f>
        <v>NO EQUIPMENT AVAILABLE</v>
      </c>
    </row>
    <row r="92" spans="1:12" x14ac:dyDescent="0.2">
      <c r="A92">
        <v>91</v>
      </c>
      <c r="B92" s="1">
        <v>46003</v>
      </c>
      <c r="C92" s="2" t="s">
        <v>13</v>
      </c>
      <c r="D92" s="3">
        <v>0.33333333333333331</v>
      </c>
      <c r="E92" s="2" t="s">
        <v>75</v>
      </c>
      <c r="F92" s="2" t="s">
        <v>15</v>
      </c>
      <c r="G92" s="2" t="s">
        <v>22</v>
      </c>
      <c r="H92">
        <v>10</v>
      </c>
      <c r="I92">
        <v>20</v>
      </c>
      <c r="J92" s="2" t="s">
        <v>17</v>
      </c>
      <c r="K92">
        <v>6512</v>
      </c>
      <c r="L92" t="str">
        <f>_xlfn.XLOOKUP(G92, CodeDescriptions!B:B, CodeDescriptions!C:C, "Unknown")</f>
        <v>BODY</v>
      </c>
    </row>
    <row r="93" spans="1:12" x14ac:dyDescent="0.2">
      <c r="A93">
        <v>92</v>
      </c>
      <c r="B93" s="1">
        <v>46003</v>
      </c>
      <c r="C93" s="2" t="s">
        <v>13</v>
      </c>
      <c r="D93" s="3">
        <v>0.33888888888888891</v>
      </c>
      <c r="E93" s="2" t="s">
        <v>75</v>
      </c>
      <c r="F93" s="2" t="s">
        <v>37</v>
      </c>
      <c r="G93" s="2" t="s">
        <v>20</v>
      </c>
      <c r="H93">
        <v>3</v>
      </c>
      <c r="I93">
        <v>10</v>
      </c>
      <c r="J93" s="2" t="s">
        <v>1</v>
      </c>
      <c r="K93">
        <v>6501</v>
      </c>
      <c r="L93" t="str">
        <f>_xlfn.XLOOKUP(G93, CodeDescriptions!B:B, CodeDescriptions!C:C, "Unknown")</f>
        <v>BRAKES</v>
      </c>
    </row>
    <row r="94" spans="1:12" x14ac:dyDescent="0.2">
      <c r="A94">
        <v>93</v>
      </c>
      <c r="B94" s="1">
        <v>46003</v>
      </c>
      <c r="C94" s="2" t="s">
        <v>13</v>
      </c>
      <c r="D94" s="3">
        <v>0.34097222222222223</v>
      </c>
      <c r="E94" s="2" t="s">
        <v>75</v>
      </c>
      <c r="F94" s="2" t="s">
        <v>15</v>
      </c>
      <c r="G94" s="2" t="s">
        <v>20</v>
      </c>
      <c r="H94">
        <v>0</v>
      </c>
      <c r="I94">
        <v>0</v>
      </c>
      <c r="J94" s="2" t="s">
        <v>17</v>
      </c>
      <c r="K94">
        <v>6511</v>
      </c>
      <c r="L94" t="str">
        <f>_xlfn.XLOOKUP(G94, CodeDescriptions!B:B, CodeDescriptions!C:C, "Unknown")</f>
        <v>BRAKES</v>
      </c>
    </row>
    <row r="95" spans="1:12" x14ac:dyDescent="0.2">
      <c r="A95">
        <v>94</v>
      </c>
      <c r="B95" s="1">
        <v>46003</v>
      </c>
      <c r="C95" s="2" t="s">
        <v>13</v>
      </c>
      <c r="D95" s="3">
        <v>0.3611111111111111</v>
      </c>
      <c r="E95" s="2" t="s">
        <v>75</v>
      </c>
      <c r="F95" s="2" t="s">
        <v>33</v>
      </c>
      <c r="G95" s="2" t="s">
        <v>39</v>
      </c>
      <c r="H95">
        <v>3</v>
      </c>
      <c r="I95">
        <v>10</v>
      </c>
      <c r="J95" s="2" t="s">
        <v>1</v>
      </c>
      <c r="K95">
        <v>6507</v>
      </c>
      <c r="L95" t="str">
        <f>_xlfn.XLOOKUP(G95, CodeDescriptions!B:B, CodeDescriptions!C:C, "Unknown")</f>
        <v>DOOR PROBLEMS (FAULTY EQUIPMENT)</v>
      </c>
    </row>
    <row r="96" spans="1:12" x14ac:dyDescent="0.2">
      <c r="A96">
        <v>95</v>
      </c>
      <c r="B96" s="1">
        <v>46003</v>
      </c>
      <c r="C96" s="2" t="s">
        <v>13</v>
      </c>
      <c r="D96" s="3">
        <v>0.36458333333333331</v>
      </c>
      <c r="E96" s="2" t="s">
        <v>75</v>
      </c>
      <c r="F96" s="2" t="s">
        <v>44</v>
      </c>
      <c r="G96" s="2" t="s">
        <v>26</v>
      </c>
      <c r="H96">
        <v>7</v>
      </c>
      <c r="I96">
        <v>14</v>
      </c>
      <c r="J96" s="2" t="s">
        <v>17</v>
      </c>
      <c r="K96">
        <v>6513</v>
      </c>
      <c r="L96" t="str">
        <f>_xlfn.XLOOKUP(G96, CodeDescriptions!B:B, CodeDescriptions!C:C, "Unknown")</f>
        <v>EQUIPMENT - OTHER</v>
      </c>
    </row>
    <row r="97" spans="1:12" x14ac:dyDescent="0.2">
      <c r="A97">
        <v>96</v>
      </c>
      <c r="B97" s="1">
        <v>46003</v>
      </c>
      <c r="C97" s="2" t="s">
        <v>13</v>
      </c>
      <c r="D97" s="3">
        <v>0.36666666666666664</v>
      </c>
      <c r="E97" s="2" t="s">
        <v>75</v>
      </c>
      <c r="F97" s="2" t="s">
        <v>78</v>
      </c>
      <c r="G97" s="2" t="s">
        <v>60</v>
      </c>
      <c r="H97">
        <v>4</v>
      </c>
      <c r="I97">
        <v>14</v>
      </c>
      <c r="J97" s="2" t="s">
        <v>17</v>
      </c>
      <c r="K97">
        <v>6515</v>
      </c>
      <c r="L97" t="str">
        <f>_xlfn.XLOOKUP(G97, CodeDescriptions!B:B, CodeDescriptions!C:C, "Unknown")</f>
        <v>ICE-/SNOW-RELATED PROBLEM</v>
      </c>
    </row>
    <row r="98" spans="1:12" x14ac:dyDescent="0.2">
      <c r="A98">
        <v>97</v>
      </c>
      <c r="B98" s="1">
        <v>46003</v>
      </c>
      <c r="C98" s="2" t="s">
        <v>13</v>
      </c>
      <c r="D98" s="3">
        <v>0.38055555555555554</v>
      </c>
      <c r="E98" s="2" t="s">
        <v>75</v>
      </c>
      <c r="F98" s="2" t="s">
        <v>15</v>
      </c>
      <c r="G98" s="2" t="s">
        <v>26</v>
      </c>
      <c r="H98">
        <v>7</v>
      </c>
      <c r="I98">
        <v>14</v>
      </c>
      <c r="J98" s="2" t="s">
        <v>17</v>
      </c>
      <c r="K98">
        <v>6507</v>
      </c>
      <c r="L98" t="str">
        <f>_xlfn.XLOOKUP(G98, CodeDescriptions!B:B, CodeDescriptions!C:C, "Unknown")</f>
        <v>EQUIPMENT - OTHER</v>
      </c>
    </row>
    <row r="99" spans="1:12" x14ac:dyDescent="0.2">
      <c r="A99">
        <v>98</v>
      </c>
      <c r="B99" s="1">
        <v>46003</v>
      </c>
      <c r="C99" s="2" t="s">
        <v>13</v>
      </c>
      <c r="D99" s="3">
        <v>0.46180555555555558</v>
      </c>
      <c r="E99" s="2" t="s">
        <v>75</v>
      </c>
      <c r="F99" s="2" t="s">
        <v>21</v>
      </c>
      <c r="G99" s="2" t="s">
        <v>22</v>
      </c>
      <c r="H99">
        <v>10</v>
      </c>
      <c r="I99">
        <v>20</v>
      </c>
      <c r="J99" s="2" t="s">
        <v>1</v>
      </c>
      <c r="K99">
        <v>6512</v>
      </c>
      <c r="L99" t="str">
        <f>_xlfn.XLOOKUP(G99, CodeDescriptions!B:B, CodeDescriptions!C:C, "Unknown")</f>
        <v>BODY</v>
      </c>
    </row>
    <row r="100" spans="1:12" x14ac:dyDescent="0.2">
      <c r="A100">
        <v>99</v>
      </c>
      <c r="B100" s="1">
        <v>46003</v>
      </c>
      <c r="C100" s="2" t="s">
        <v>13</v>
      </c>
      <c r="D100" s="3">
        <v>0.48749999999999999</v>
      </c>
      <c r="E100" s="2" t="s">
        <v>75</v>
      </c>
      <c r="F100" s="2" t="s">
        <v>21</v>
      </c>
      <c r="G100" s="2" t="s">
        <v>29</v>
      </c>
      <c r="H100">
        <v>10</v>
      </c>
      <c r="I100">
        <v>20</v>
      </c>
      <c r="J100" s="2" t="s">
        <v>1</v>
      </c>
      <c r="K100">
        <v>6512</v>
      </c>
      <c r="L100" t="str">
        <f>_xlfn.XLOOKUP(G100, CodeDescriptions!B:B, CodeDescriptions!C:C, "Unknown")</f>
        <v>TRANSPORTATION OTHER</v>
      </c>
    </row>
    <row r="101" spans="1:12" x14ac:dyDescent="0.2">
      <c r="A101">
        <v>100</v>
      </c>
      <c r="B101" s="1">
        <v>46003</v>
      </c>
      <c r="C101" s="2" t="s">
        <v>13</v>
      </c>
      <c r="D101" s="3">
        <v>0.54652777777777772</v>
      </c>
      <c r="E101" s="2" t="s">
        <v>75</v>
      </c>
      <c r="F101" s="2" t="s">
        <v>15</v>
      </c>
      <c r="G101" s="2" t="s">
        <v>26</v>
      </c>
      <c r="H101">
        <v>10</v>
      </c>
      <c r="I101">
        <v>20</v>
      </c>
      <c r="J101" s="2" t="s">
        <v>17</v>
      </c>
      <c r="K101">
        <v>6515</v>
      </c>
      <c r="L101" t="str">
        <f>_xlfn.XLOOKUP(G101, CodeDescriptions!B:B, CodeDescriptions!C:C, "Unknown")</f>
        <v>EQUIPMENT - OTHER</v>
      </c>
    </row>
    <row r="102" spans="1:12" x14ac:dyDescent="0.2">
      <c r="A102">
        <v>101</v>
      </c>
      <c r="B102" s="1">
        <v>46003</v>
      </c>
      <c r="C102" s="2" t="s">
        <v>13</v>
      </c>
      <c r="D102" s="3">
        <v>0.6069444444444444</v>
      </c>
      <c r="E102" s="2" t="s">
        <v>75</v>
      </c>
      <c r="F102" s="2" t="s">
        <v>21</v>
      </c>
      <c r="G102" s="2" t="s">
        <v>46</v>
      </c>
      <c r="H102">
        <v>7</v>
      </c>
      <c r="I102">
        <v>14</v>
      </c>
      <c r="J102" s="2" t="s">
        <v>1</v>
      </c>
      <c r="K102">
        <v>6512</v>
      </c>
      <c r="L102" t="str">
        <f>_xlfn.XLOOKUP(G102, CodeDescriptions!B:B, CodeDescriptions!C:C, "Unknown")</f>
        <v>HVAC</v>
      </c>
    </row>
    <row r="103" spans="1:12" x14ac:dyDescent="0.2">
      <c r="A103">
        <v>102</v>
      </c>
      <c r="B103" s="1">
        <v>46003</v>
      </c>
      <c r="C103" s="2" t="s">
        <v>13</v>
      </c>
      <c r="D103" s="3">
        <v>0.65902777777777777</v>
      </c>
      <c r="E103" s="2" t="s">
        <v>75</v>
      </c>
      <c r="F103" s="2" t="s">
        <v>44</v>
      </c>
      <c r="G103" s="2" t="s">
        <v>26</v>
      </c>
      <c r="H103">
        <v>7</v>
      </c>
      <c r="I103">
        <v>14</v>
      </c>
      <c r="J103" s="2" t="s">
        <v>1</v>
      </c>
      <c r="K103">
        <v>0</v>
      </c>
      <c r="L103" t="str">
        <f>_xlfn.XLOOKUP(G103, CodeDescriptions!B:B, CodeDescriptions!C:C, "Unknown")</f>
        <v>EQUIPMENT - OTHER</v>
      </c>
    </row>
    <row r="104" spans="1:12" x14ac:dyDescent="0.2">
      <c r="A104">
        <v>103</v>
      </c>
      <c r="B104" s="1">
        <v>46003</v>
      </c>
      <c r="C104" s="2" t="s">
        <v>13</v>
      </c>
      <c r="D104" s="3">
        <v>0.72638888888888886</v>
      </c>
      <c r="E104" s="2" t="s">
        <v>75</v>
      </c>
      <c r="F104" s="2" t="s">
        <v>18</v>
      </c>
      <c r="G104" s="2" t="s">
        <v>38</v>
      </c>
      <c r="H104">
        <v>12</v>
      </c>
      <c r="I104">
        <v>19</v>
      </c>
      <c r="J104" s="2" t="s">
        <v>1</v>
      </c>
      <c r="K104">
        <v>6508</v>
      </c>
      <c r="L104" t="str">
        <f>_xlfn.XLOOKUP(G104, CodeDescriptions!B:B, CodeDescriptions!C:C, "Unknown")</f>
        <v>UNABLE TO MAINT SCHED DUE TO TRAFFIC/PASSENGER CONGESTION</v>
      </c>
    </row>
    <row r="105" spans="1:12" x14ac:dyDescent="0.2">
      <c r="A105">
        <v>104</v>
      </c>
      <c r="B105" s="1">
        <v>46003</v>
      </c>
      <c r="C105" s="2" t="s">
        <v>13</v>
      </c>
      <c r="D105" s="3">
        <v>0.74652777777777779</v>
      </c>
      <c r="E105" s="2" t="s">
        <v>75</v>
      </c>
      <c r="F105" s="2" t="s">
        <v>28</v>
      </c>
      <c r="G105" s="2" t="s">
        <v>29</v>
      </c>
      <c r="H105">
        <v>4</v>
      </c>
      <c r="I105">
        <v>11</v>
      </c>
      <c r="J105" s="2" t="s">
        <v>17</v>
      </c>
      <c r="K105">
        <v>6511</v>
      </c>
      <c r="L105" t="str">
        <f>_xlfn.XLOOKUP(G105, CodeDescriptions!B:B, CodeDescriptions!C:C, "Unknown")</f>
        <v>TRANSPORTATION OTHER</v>
      </c>
    </row>
    <row r="106" spans="1:12" x14ac:dyDescent="0.2">
      <c r="A106">
        <v>105</v>
      </c>
      <c r="B106" s="1">
        <v>46003</v>
      </c>
      <c r="C106" s="2" t="s">
        <v>13</v>
      </c>
      <c r="D106" s="3">
        <v>0.75</v>
      </c>
      <c r="E106" s="2" t="s">
        <v>75</v>
      </c>
      <c r="F106" s="2" t="s">
        <v>21</v>
      </c>
      <c r="G106" s="2" t="s">
        <v>79</v>
      </c>
      <c r="H106">
        <v>10</v>
      </c>
      <c r="I106">
        <v>17</v>
      </c>
      <c r="J106" s="2" t="s">
        <v>1</v>
      </c>
      <c r="K106">
        <v>6506</v>
      </c>
      <c r="L106" t="str">
        <f>_xlfn.XLOOKUP(G106, CodeDescriptions!B:B, CodeDescriptions!C:C, "Unknown")</f>
        <v>S&amp;TCS CARBORNE EQUIPMENT</v>
      </c>
    </row>
    <row r="107" spans="1:12" x14ac:dyDescent="0.2">
      <c r="A107">
        <v>106</v>
      </c>
      <c r="B107" s="1">
        <v>46003</v>
      </c>
      <c r="C107" s="2" t="s">
        <v>13</v>
      </c>
      <c r="D107" s="3">
        <v>0.75069444444444444</v>
      </c>
      <c r="E107" s="2" t="s">
        <v>75</v>
      </c>
      <c r="F107" s="2" t="s">
        <v>15</v>
      </c>
      <c r="G107" s="2" t="s">
        <v>79</v>
      </c>
      <c r="H107">
        <v>7</v>
      </c>
      <c r="I107">
        <v>14</v>
      </c>
      <c r="J107" s="2" t="s">
        <v>17</v>
      </c>
      <c r="K107">
        <v>6509</v>
      </c>
      <c r="L107" t="str">
        <f>_xlfn.XLOOKUP(G107, CodeDescriptions!B:B, CodeDescriptions!C:C, "Unknown")</f>
        <v>S&amp;TCS CARBORNE EQUIPMENT</v>
      </c>
    </row>
    <row r="108" spans="1:12" x14ac:dyDescent="0.2">
      <c r="A108">
        <v>107</v>
      </c>
      <c r="B108" s="1">
        <v>46003</v>
      </c>
      <c r="C108" s="2" t="s">
        <v>13</v>
      </c>
      <c r="D108" s="3">
        <v>0.87777777777777777</v>
      </c>
      <c r="E108" s="2" t="s">
        <v>75</v>
      </c>
      <c r="F108" s="2" t="s">
        <v>15</v>
      </c>
      <c r="G108" s="2" t="s">
        <v>80</v>
      </c>
      <c r="H108">
        <v>7</v>
      </c>
      <c r="I108">
        <v>12</v>
      </c>
      <c r="J108" s="2" t="s">
        <v>17</v>
      </c>
      <c r="K108">
        <v>6504</v>
      </c>
      <c r="L108" t="str">
        <f>_xlfn.XLOOKUP(G108, CodeDescriptions!B:B, CodeDescriptions!C:C, "Unknown")</f>
        <v>SANDERS</v>
      </c>
    </row>
    <row r="109" spans="1:12" x14ac:dyDescent="0.2">
      <c r="A109">
        <v>108</v>
      </c>
      <c r="B109" s="1">
        <v>46003</v>
      </c>
      <c r="C109" s="2" t="s">
        <v>13</v>
      </c>
      <c r="D109" s="3">
        <v>0.88888888888888884</v>
      </c>
      <c r="E109" s="2" t="s">
        <v>75</v>
      </c>
      <c r="F109" s="2" t="s">
        <v>15</v>
      </c>
      <c r="G109" s="2" t="s">
        <v>80</v>
      </c>
      <c r="H109">
        <v>7</v>
      </c>
      <c r="I109">
        <v>12</v>
      </c>
      <c r="J109" s="2" t="s">
        <v>24</v>
      </c>
      <c r="K109">
        <v>6504</v>
      </c>
      <c r="L109" t="str">
        <f>_xlfn.XLOOKUP(G109, CodeDescriptions!B:B, CodeDescriptions!C:C, "Unknown")</f>
        <v>SANDERS</v>
      </c>
    </row>
    <row r="110" spans="1:12" x14ac:dyDescent="0.2">
      <c r="A110">
        <v>109</v>
      </c>
      <c r="B110" s="1">
        <v>46004</v>
      </c>
      <c r="C110" s="2" t="s">
        <v>13</v>
      </c>
      <c r="D110" s="3">
        <v>0.23680555555555555</v>
      </c>
      <c r="E110" s="2" t="s">
        <v>81</v>
      </c>
      <c r="F110" s="2" t="s">
        <v>30</v>
      </c>
      <c r="G110" s="2" t="s">
        <v>26</v>
      </c>
      <c r="H110">
        <v>0</v>
      </c>
      <c r="I110">
        <v>0</v>
      </c>
      <c r="J110" s="2" t="s">
        <v>1</v>
      </c>
      <c r="K110">
        <v>6511</v>
      </c>
      <c r="L110" t="str">
        <f>_xlfn.XLOOKUP(G110, CodeDescriptions!B:B, CodeDescriptions!C:C, "Unknown")</f>
        <v>EQUIPMENT - OTHER</v>
      </c>
    </row>
    <row r="111" spans="1:12" x14ac:dyDescent="0.2">
      <c r="A111">
        <v>110</v>
      </c>
      <c r="B111" s="1">
        <v>46004</v>
      </c>
      <c r="C111" s="2" t="s">
        <v>13</v>
      </c>
      <c r="D111" s="3">
        <v>0.35625000000000001</v>
      </c>
      <c r="E111" s="2" t="s">
        <v>81</v>
      </c>
      <c r="F111" s="2" t="s">
        <v>15</v>
      </c>
      <c r="G111" s="2" t="s">
        <v>82</v>
      </c>
      <c r="H111">
        <v>37</v>
      </c>
      <c r="I111">
        <v>0</v>
      </c>
      <c r="J111" s="2" t="s">
        <v>1</v>
      </c>
      <c r="K111">
        <v>6506</v>
      </c>
      <c r="L111" t="str">
        <f>_xlfn.XLOOKUP(G111, CodeDescriptions!B:B, CodeDescriptions!C:C, "Unknown")</f>
        <v>ECD/LINE MECHANIC RELATED</v>
      </c>
    </row>
    <row r="112" spans="1:12" x14ac:dyDescent="0.2">
      <c r="A112">
        <v>111</v>
      </c>
      <c r="B112" s="1">
        <v>46004</v>
      </c>
      <c r="C112" s="2" t="s">
        <v>13</v>
      </c>
      <c r="D112" s="3">
        <v>0.4826388888888889</v>
      </c>
      <c r="E112" s="2" t="s">
        <v>81</v>
      </c>
      <c r="F112" s="2" t="s">
        <v>25</v>
      </c>
      <c r="G112" s="2" t="s">
        <v>20</v>
      </c>
      <c r="H112">
        <v>32</v>
      </c>
      <c r="I112">
        <v>39</v>
      </c>
      <c r="J112" s="2" t="s">
        <v>17</v>
      </c>
      <c r="K112">
        <v>6509</v>
      </c>
      <c r="L112" t="str">
        <f>_xlfn.XLOOKUP(G112, CodeDescriptions!B:B, CodeDescriptions!C:C, "Unknown")</f>
        <v>BRAKES</v>
      </c>
    </row>
    <row r="113" spans="1:12" x14ac:dyDescent="0.2">
      <c r="A113">
        <v>112</v>
      </c>
      <c r="B113" s="1">
        <v>46004</v>
      </c>
      <c r="C113" s="2" t="s">
        <v>13</v>
      </c>
      <c r="D113" s="3">
        <v>0.52152777777777781</v>
      </c>
      <c r="E113" s="2" t="s">
        <v>81</v>
      </c>
      <c r="F113" s="2" t="s">
        <v>30</v>
      </c>
      <c r="G113" s="2" t="s">
        <v>20</v>
      </c>
      <c r="H113">
        <v>0</v>
      </c>
      <c r="I113">
        <v>0</v>
      </c>
      <c r="J113" s="2" t="s">
        <v>17</v>
      </c>
      <c r="K113">
        <v>6511</v>
      </c>
      <c r="L113" t="str">
        <f>_xlfn.XLOOKUP(G113, CodeDescriptions!B:B, CodeDescriptions!C:C, "Unknown")</f>
        <v>BRAKES</v>
      </c>
    </row>
    <row r="114" spans="1:12" x14ac:dyDescent="0.2">
      <c r="A114">
        <v>113</v>
      </c>
      <c r="B114" s="1">
        <v>46004</v>
      </c>
      <c r="C114" s="2" t="s">
        <v>13</v>
      </c>
      <c r="D114" s="3">
        <v>0.53611111111111109</v>
      </c>
      <c r="E114" s="2" t="s">
        <v>81</v>
      </c>
      <c r="F114" s="2" t="s">
        <v>21</v>
      </c>
      <c r="G114" s="2" t="s">
        <v>23</v>
      </c>
      <c r="H114">
        <v>17</v>
      </c>
      <c r="I114">
        <v>27</v>
      </c>
      <c r="J114" s="2" t="s">
        <v>1</v>
      </c>
      <c r="K114">
        <v>6509</v>
      </c>
      <c r="L114" t="str">
        <f>_xlfn.XLOOKUP(G114, CodeDescriptions!B:B, CodeDescriptions!C:C, "Unknown")</f>
        <v>MISCELLANEOUS TRANSPORTATION OTHER (EMPLOYEE NON-CHARGEABLE)</v>
      </c>
    </row>
    <row r="115" spans="1:12" x14ac:dyDescent="0.2">
      <c r="A115">
        <v>114</v>
      </c>
      <c r="B115" s="1">
        <v>46004</v>
      </c>
      <c r="C115" s="2" t="s">
        <v>13</v>
      </c>
      <c r="D115" s="3">
        <v>0.54861111111111116</v>
      </c>
      <c r="E115" s="2" t="s">
        <v>81</v>
      </c>
      <c r="F115" s="2" t="s">
        <v>15</v>
      </c>
      <c r="G115" s="2" t="s">
        <v>74</v>
      </c>
      <c r="H115">
        <v>30</v>
      </c>
      <c r="I115">
        <v>39</v>
      </c>
      <c r="J115" s="2" t="s">
        <v>24</v>
      </c>
      <c r="K115">
        <v>6503</v>
      </c>
      <c r="L115" t="str">
        <f>_xlfn.XLOOKUP(G115, CodeDescriptions!B:B, CodeDescriptions!C:C, "Unknown")</f>
        <v>GIDS ACTIVATION</v>
      </c>
    </row>
    <row r="116" spans="1:12" x14ac:dyDescent="0.2">
      <c r="A116">
        <v>115</v>
      </c>
      <c r="B116" s="1">
        <v>46004</v>
      </c>
      <c r="C116" s="2" t="s">
        <v>13</v>
      </c>
      <c r="D116" s="3">
        <v>0.55138888888888893</v>
      </c>
      <c r="E116" s="2" t="s">
        <v>81</v>
      </c>
      <c r="F116" s="2" t="s">
        <v>15</v>
      </c>
      <c r="G116" s="2" t="s">
        <v>83</v>
      </c>
      <c r="H116">
        <v>0</v>
      </c>
      <c r="I116">
        <v>0</v>
      </c>
      <c r="J116" s="2" t="s">
        <v>17</v>
      </c>
      <c r="K116">
        <v>6503</v>
      </c>
      <c r="L116" t="str">
        <f>_xlfn.XLOOKUP(G116, CodeDescriptions!B:B, CodeDescriptions!C:C, "Unknown")</f>
        <v>TRUCKS</v>
      </c>
    </row>
    <row r="117" spans="1:12" x14ac:dyDescent="0.2">
      <c r="A117">
        <v>116</v>
      </c>
      <c r="B117" s="1">
        <v>46004</v>
      </c>
      <c r="C117" s="2" t="s">
        <v>13</v>
      </c>
      <c r="D117" s="3">
        <v>0.59305555555555556</v>
      </c>
      <c r="E117" s="2" t="s">
        <v>81</v>
      </c>
      <c r="F117" s="2" t="s">
        <v>30</v>
      </c>
      <c r="G117" s="2" t="s">
        <v>83</v>
      </c>
      <c r="H117">
        <v>0</v>
      </c>
      <c r="I117">
        <v>0</v>
      </c>
      <c r="J117" s="2" t="s">
        <v>17</v>
      </c>
      <c r="K117">
        <v>6515</v>
      </c>
      <c r="L117" t="str">
        <f>_xlfn.XLOOKUP(G117, CodeDescriptions!B:B, CodeDescriptions!C:C, "Unknown")</f>
        <v>TRUCKS</v>
      </c>
    </row>
    <row r="118" spans="1:12" x14ac:dyDescent="0.2">
      <c r="A118">
        <v>117</v>
      </c>
      <c r="B118" s="1">
        <v>46004</v>
      </c>
      <c r="C118" s="2" t="s">
        <v>13</v>
      </c>
      <c r="D118" s="3">
        <v>0.65416666666666667</v>
      </c>
      <c r="E118" s="2" t="s">
        <v>81</v>
      </c>
      <c r="F118" s="2" t="s">
        <v>27</v>
      </c>
      <c r="G118" s="2" t="s">
        <v>26</v>
      </c>
      <c r="H118">
        <v>7</v>
      </c>
      <c r="I118">
        <v>17</v>
      </c>
      <c r="J118" s="2" t="s">
        <v>1</v>
      </c>
      <c r="K118">
        <v>6506</v>
      </c>
      <c r="L118" t="str">
        <f>_xlfn.XLOOKUP(G118, CodeDescriptions!B:B, CodeDescriptions!C:C, "Unknown")</f>
        <v>EQUIPMENT - OTHER</v>
      </c>
    </row>
    <row r="119" spans="1:12" x14ac:dyDescent="0.2">
      <c r="A119">
        <v>118</v>
      </c>
      <c r="B119" s="1">
        <v>46004</v>
      </c>
      <c r="C119" s="2" t="s">
        <v>13</v>
      </c>
      <c r="D119" s="3">
        <v>0.67152777777777772</v>
      </c>
      <c r="E119" s="2" t="s">
        <v>81</v>
      </c>
      <c r="F119" s="2" t="s">
        <v>47</v>
      </c>
      <c r="G119" s="2" t="s">
        <v>19</v>
      </c>
      <c r="H119">
        <v>5</v>
      </c>
      <c r="I119">
        <v>15</v>
      </c>
      <c r="J119" s="2" t="s">
        <v>1</v>
      </c>
      <c r="K119">
        <v>6514</v>
      </c>
      <c r="L119" t="str">
        <f>_xlfn.XLOOKUP(G119, CodeDescriptions!B:B, CodeDescriptions!C:C, "Unknown")</f>
        <v>TRACTION MOTORS</v>
      </c>
    </row>
    <row r="120" spans="1:12" x14ac:dyDescent="0.2">
      <c r="A120">
        <v>119</v>
      </c>
      <c r="B120" s="1">
        <v>46004</v>
      </c>
      <c r="C120" s="2" t="s">
        <v>13</v>
      </c>
      <c r="D120" s="3">
        <v>0.69236111111111109</v>
      </c>
      <c r="E120" s="2" t="s">
        <v>81</v>
      </c>
      <c r="F120" s="2" t="s">
        <v>21</v>
      </c>
      <c r="G120" s="2" t="s">
        <v>39</v>
      </c>
      <c r="H120">
        <v>0</v>
      </c>
      <c r="I120">
        <v>0</v>
      </c>
      <c r="J120" s="2" t="s">
        <v>1</v>
      </c>
      <c r="K120">
        <v>6505</v>
      </c>
      <c r="L120" t="str">
        <f>_xlfn.XLOOKUP(G120, CodeDescriptions!B:B, CodeDescriptions!C:C, "Unknown")</f>
        <v>DOOR PROBLEMS (FAULTY EQUIPMENT)</v>
      </c>
    </row>
    <row r="121" spans="1:12" x14ac:dyDescent="0.2">
      <c r="A121">
        <v>120</v>
      </c>
      <c r="B121" s="1">
        <v>46004</v>
      </c>
      <c r="C121" s="2" t="s">
        <v>13</v>
      </c>
      <c r="D121" s="3">
        <v>0.69652777777777775</v>
      </c>
      <c r="E121" s="2" t="s">
        <v>81</v>
      </c>
      <c r="F121" s="2" t="s">
        <v>33</v>
      </c>
      <c r="G121" s="2" t="s">
        <v>84</v>
      </c>
      <c r="H121">
        <v>0</v>
      </c>
      <c r="I121">
        <v>0</v>
      </c>
      <c r="J121" s="2" t="s">
        <v>24</v>
      </c>
      <c r="K121">
        <v>6508</v>
      </c>
      <c r="L121" t="str">
        <f>_xlfn.XLOOKUP(G121, CodeDescriptions!B:B, CodeDescriptions!C:C, "Unknown")</f>
        <v>DISORDERLY PATRON</v>
      </c>
    </row>
    <row r="122" spans="1:12" x14ac:dyDescent="0.2">
      <c r="A122">
        <v>121</v>
      </c>
      <c r="B122" s="1">
        <v>46004</v>
      </c>
      <c r="C122" s="2" t="s">
        <v>13</v>
      </c>
      <c r="D122" s="3">
        <v>0.75486111111111109</v>
      </c>
      <c r="E122" s="2" t="s">
        <v>81</v>
      </c>
      <c r="F122" s="2" t="s">
        <v>50</v>
      </c>
      <c r="G122" s="2" t="s">
        <v>85</v>
      </c>
      <c r="H122">
        <v>0</v>
      </c>
      <c r="I122">
        <v>0</v>
      </c>
      <c r="J122" s="2" t="s">
        <v>1</v>
      </c>
      <c r="K122">
        <v>6501</v>
      </c>
      <c r="L122" t="str">
        <f>_xlfn.XLOOKUP(G122, CodeDescriptions!B:B, CodeDescriptions!C:C, "Unknown")</f>
        <v>DATA COMMUNICATIONS SYSTEM FAILURE</v>
      </c>
    </row>
    <row r="123" spans="1:12" x14ac:dyDescent="0.2">
      <c r="A123">
        <v>122</v>
      </c>
      <c r="B123" s="1">
        <v>46004</v>
      </c>
      <c r="C123" s="2" t="s">
        <v>13</v>
      </c>
      <c r="D123" s="3">
        <v>0.8041666666666667</v>
      </c>
      <c r="E123" s="2" t="s">
        <v>81</v>
      </c>
      <c r="F123" s="2" t="s">
        <v>34</v>
      </c>
      <c r="G123" s="2" t="s">
        <v>45</v>
      </c>
      <c r="H123">
        <v>0</v>
      </c>
      <c r="I123">
        <v>0</v>
      </c>
      <c r="J123" s="2" t="s">
        <v>17</v>
      </c>
      <c r="K123">
        <v>6511</v>
      </c>
      <c r="L123" t="str">
        <f>_xlfn.XLOOKUP(G123, CodeDescriptions!B:B, CodeDescriptions!C:C, "Unknown")</f>
        <v>OPERATOR OVERSPEED</v>
      </c>
    </row>
    <row r="124" spans="1:12" x14ac:dyDescent="0.2">
      <c r="A124">
        <v>123</v>
      </c>
      <c r="B124" s="1">
        <v>46004</v>
      </c>
      <c r="C124" s="2" t="s">
        <v>13</v>
      </c>
      <c r="D124" s="3">
        <v>0.86319444444444449</v>
      </c>
      <c r="E124" s="2" t="s">
        <v>81</v>
      </c>
      <c r="F124" s="2" t="s">
        <v>15</v>
      </c>
      <c r="G124" s="2" t="s">
        <v>39</v>
      </c>
      <c r="H124">
        <v>4</v>
      </c>
      <c r="I124">
        <v>14</v>
      </c>
      <c r="J124" s="2" t="s">
        <v>17</v>
      </c>
      <c r="K124">
        <v>6508</v>
      </c>
      <c r="L124" t="str">
        <f>_xlfn.XLOOKUP(G124, CodeDescriptions!B:B, CodeDescriptions!C:C, "Unknown")</f>
        <v>DOOR PROBLEMS (FAULTY EQUIPMENT)</v>
      </c>
    </row>
    <row r="125" spans="1:12" x14ac:dyDescent="0.2">
      <c r="A125">
        <v>124</v>
      </c>
      <c r="B125" s="1">
        <v>46004</v>
      </c>
      <c r="C125" s="2" t="s">
        <v>13</v>
      </c>
      <c r="D125" s="3">
        <v>0.89722222222222225</v>
      </c>
      <c r="E125" s="2" t="s">
        <v>81</v>
      </c>
      <c r="F125" s="2" t="s">
        <v>47</v>
      </c>
      <c r="G125" s="2" t="s">
        <v>29</v>
      </c>
      <c r="H125">
        <v>6</v>
      </c>
      <c r="I125">
        <v>18</v>
      </c>
      <c r="J125" s="2" t="s">
        <v>17</v>
      </c>
      <c r="K125">
        <v>6508</v>
      </c>
      <c r="L125" t="str">
        <f>_xlfn.XLOOKUP(G125, CodeDescriptions!B:B, CodeDescriptions!C:C, "Unknown")</f>
        <v>TRANSPORTATION OTHER</v>
      </c>
    </row>
    <row r="126" spans="1:12" x14ac:dyDescent="0.2">
      <c r="A126">
        <v>125</v>
      </c>
      <c r="B126" s="1">
        <v>46005</v>
      </c>
      <c r="C126" s="2" t="s">
        <v>13</v>
      </c>
      <c r="D126" s="3">
        <v>0.34236111111111112</v>
      </c>
      <c r="E126" s="2" t="s">
        <v>14</v>
      </c>
      <c r="F126" s="2" t="s">
        <v>53</v>
      </c>
      <c r="G126" s="2" t="s">
        <v>26</v>
      </c>
      <c r="H126">
        <v>3</v>
      </c>
      <c r="I126">
        <v>13</v>
      </c>
      <c r="J126" s="2" t="s">
        <v>1</v>
      </c>
      <c r="K126">
        <v>6513</v>
      </c>
      <c r="L126" t="str">
        <f>_xlfn.XLOOKUP(G126, CodeDescriptions!B:B, CodeDescriptions!C:C, "Unknown")</f>
        <v>EQUIPMENT - OTHER</v>
      </c>
    </row>
    <row r="127" spans="1:12" x14ac:dyDescent="0.2">
      <c r="A127">
        <v>126</v>
      </c>
      <c r="B127" s="1">
        <v>46005</v>
      </c>
      <c r="C127" s="2" t="s">
        <v>13</v>
      </c>
      <c r="D127" s="3">
        <v>0.34861111111111109</v>
      </c>
      <c r="E127" s="2" t="s">
        <v>14</v>
      </c>
      <c r="F127" s="2" t="s">
        <v>77</v>
      </c>
      <c r="G127" s="2" t="s">
        <v>46</v>
      </c>
      <c r="H127">
        <v>6</v>
      </c>
      <c r="I127">
        <v>16</v>
      </c>
      <c r="J127" s="2" t="s">
        <v>1</v>
      </c>
      <c r="K127">
        <v>6517</v>
      </c>
      <c r="L127" t="str">
        <f>_xlfn.XLOOKUP(G127, CodeDescriptions!B:B, CodeDescriptions!C:C, "Unknown")</f>
        <v>HVAC</v>
      </c>
    </row>
    <row r="128" spans="1:12" x14ac:dyDescent="0.2">
      <c r="A128">
        <v>127</v>
      </c>
      <c r="B128" s="1">
        <v>46005</v>
      </c>
      <c r="C128" s="2" t="s">
        <v>13</v>
      </c>
      <c r="D128" s="3">
        <v>0.35486111111111113</v>
      </c>
      <c r="E128" s="2" t="s">
        <v>14</v>
      </c>
      <c r="F128" s="2" t="s">
        <v>86</v>
      </c>
      <c r="G128" s="2" t="s">
        <v>20</v>
      </c>
      <c r="H128">
        <v>119</v>
      </c>
      <c r="I128">
        <v>129</v>
      </c>
      <c r="J128" s="2" t="s">
        <v>1</v>
      </c>
      <c r="K128">
        <v>6513</v>
      </c>
      <c r="L128" t="str">
        <f>_xlfn.XLOOKUP(G128, CodeDescriptions!B:B, CodeDescriptions!C:C, "Unknown")</f>
        <v>BRAKES</v>
      </c>
    </row>
    <row r="129" spans="1:12" x14ac:dyDescent="0.2">
      <c r="A129">
        <v>128</v>
      </c>
      <c r="B129" s="1">
        <v>46005</v>
      </c>
      <c r="C129" s="2" t="s">
        <v>13</v>
      </c>
      <c r="D129" s="3">
        <v>0.43472222222222223</v>
      </c>
      <c r="E129" s="2" t="s">
        <v>14</v>
      </c>
      <c r="F129" s="2" t="s">
        <v>18</v>
      </c>
      <c r="G129" s="2" t="s">
        <v>39</v>
      </c>
      <c r="H129">
        <v>3</v>
      </c>
      <c r="I129">
        <v>13</v>
      </c>
      <c r="J129" s="2" t="s">
        <v>1</v>
      </c>
      <c r="K129">
        <v>6517</v>
      </c>
      <c r="L129" t="str">
        <f>_xlfn.XLOOKUP(G129, CodeDescriptions!B:B, CodeDescriptions!C:C, "Unknown")</f>
        <v>DOOR PROBLEMS (FAULTY EQUIPMENT)</v>
      </c>
    </row>
    <row r="130" spans="1:12" x14ac:dyDescent="0.2">
      <c r="A130">
        <v>129</v>
      </c>
      <c r="B130" s="1">
        <v>46005</v>
      </c>
      <c r="C130" s="2" t="s">
        <v>13</v>
      </c>
      <c r="D130" s="3">
        <v>0.44583333333333336</v>
      </c>
      <c r="E130" s="2" t="s">
        <v>14</v>
      </c>
      <c r="F130" s="2" t="s">
        <v>47</v>
      </c>
      <c r="G130" s="2" t="s">
        <v>19</v>
      </c>
      <c r="H130">
        <v>3</v>
      </c>
      <c r="I130">
        <v>13</v>
      </c>
      <c r="J130" s="2" t="s">
        <v>1</v>
      </c>
      <c r="K130">
        <v>6506</v>
      </c>
      <c r="L130" t="str">
        <f>_xlfn.XLOOKUP(G130, CodeDescriptions!B:B, CodeDescriptions!C:C, "Unknown")</f>
        <v>TRACTION MOTORS</v>
      </c>
    </row>
    <row r="131" spans="1:12" x14ac:dyDescent="0.2">
      <c r="A131">
        <v>130</v>
      </c>
      <c r="B131" s="1">
        <v>46005</v>
      </c>
      <c r="C131" s="2" t="s">
        <v>13</v>
      </c>
      <c r="D131" s="3">
        <v>0.50069444444444444</v>
      </c>
      <c r="E131" s="2" t="s">
        <v>14</v>
      </c>
      <c r="F131" s="2" t="s">
        <v>37</v>
      </c>
      <c r="G131" s="2" t="s">
        <v>19</v>
      </c>
      <c r="H131">
        <v>3</v>
      </c>
      <c r="I131">
        <v>13</v>
      </c>
      <c r="J131" s="2" t="s">
        <v>17</v>
      </c>
      <c r="K131">
        <v>6514</v>
      </c>
      <c r="L131" t="str">
        <f>_xlfn.XLOOKUP(G131, CodeDescriptions!B:B, CodeDescriptions!C:C, "Unknown")</f>
        <v>TRACTION MOTORS</v>
      </c>
    </row>
    <row r="132" spans="1:12" x14ac:dyDescent="0.2">
      <c r="A132">
        <v>131</v>
      </c>
      <c r="B132" s="1">
        <v>46005</v>
      </c>
      <c r="C132" s="2" t="s">
        <v>13</v>
      </c>
      <c r="D132" s="3">
        <v>0.51249999999999996</v>
      </c>
      <c r="E132" s="2" t="s">
        <v>14</v>
      </c>
      <c r="F132" s="2" t="s">
        <v>34</v>
      </c>
      <c r="G132" s="2" t="s">
        <v>19</v>
      </c>
      <c r="H132">
        <v>5</v>
      </c>
      <c r="I132">
        <v>15</v>
      </c>
      <c r="J132" s="2" t="s">
        <v>17</v>
      </c>
      <c r="K132">
        <v>6501</v>
      </c>
      <c r="L132" t="str">
        <f>_xlfn.XLOOKUP(G132, CodeDescriptions!B:B, CodeDescriptions!C:C, "Unknown")</f>
        <v>TRACTION MOTORS</v>
      </c>
    </row>
    <row r="133" spans="1:12" x14ac:dyDescent="0.2">
      <c r="A133">
        <v>132</v>
      </c>
      <c r="B133" s="1">
        <v>46005</v>
      </c>
      <c r="C133" s="2" t="s">
        <v>13</v>
      </c>
      <c r="D133" s="3">
        <v>0.57847222222222228</v>
      </c>
      <c r="E133" s="2" t="s">
        <v>14</v>
      </c>
      <c r="F133" s="2" t="s">
        <v>21</v>
      </c>
      <c r="G133" s="2" t="s">
        <v>23</v>
      </c>
      <c r="H133">
        <v>5</v>
      </c>
      <c r="I133">
        <v>10</v>
      </c>
      <c r="J133" s="2" t="s">
        <v>1</v>
      </c>
      <c r="K133">
        <v>6514</v>
      </c>
      <c r="L133" t="str">
        <f>_xlfn.XLOOKUP(G133, CodeDescriptions!B:B, CodeDescriptions!C:C, "Unknown")</f>
        <v>MISCELLANEOUS TRANSPORTATION OTHER (EMPLOYEE NON-CHARGEABLE)</v>
      </c>
    </row>
    <row r="134" spans="1:12" x14ac:dyDescent="0.2">
      <c r="A134">
        <v>133</v>
      </c>
      <c r="B134" s="1">
        <v>46005</v>
      </c>
      <c r="C134" s="2" t="s">
        <v>13</v>
      </c>
      <c r="D134" s="3">
        <v>0.77152777777777781</v>
      </c>
      <c r="E134" s="2" t="s">
        <v>14</v>
      </c>
      <c r="F134" s="2" t="s">
        <v>44</v>
      </c>
      <c r="G134" s="2" t="s">
        <v>46</v>
      </c>
      <c r="H134">
        <v>0</v>
      </c>
      <c r="I134">
        <v>0</v>
      </c>
      <c r="J134" s="2" t="s">
        <v>17</v>
      </c>
      <c r="K134">
        <v>6514</v>
      </c>
      <c r="L134" t="str">
        <f>_xlfn.XLOOKUP(G134, CodeDescriptions!B:B, CodeDescriptions!C:C, "Unknown")</f>
        <v>HVAC</v>
      </c>
    </row>
    <row r="135" spans="1:12" x14ac:dyDescent="0.2">
      <c r="A135">
        <v>134</v>
      </c>
      <c r="B135" s="1">
        <v>46005</v>
      </c>
      <c r="C135" s="2" t="s">
        <v>13</v>
      </c>
      <c r="D135" s="3">
        <v>0.79166666666666663</v>
      </c>
      <c r="E135" s="2" t="s">
        <v>14</v>
      </c>
      <c r="F135" s="2" t="s">
        <v>18</v>
      </c>
      <c r="G135" s="2" t="s">
        <v>72</v>
      </c>
      <c r="H135">
        <v>12</v>
      </c>
      <c r="I135">
        <v>24</v>
      </c>
      <c r="J135" s="2" t="s">
        <v>1</v>
      </c>
      <c r="K135">
        <v>6501</v>
      </c>
      <c r="L135" t="str">
        <f>_xlfn.XLOOKUP(G135, CodeDescriptions!B:B, CodeDescriptions!C:C, "Unknown")</f>
        <v>INJURED TTC EMPLOYEE</v>
      </c>
    </row>
    <row r="136" spans="1:12" x14ac:dyDescent="0.2">
      <c r="A136">
        <v>135</v>
      </c>
      <c r="B136" s="1">
        <v>46005</v>
      </c>
      <c r="C136" s="2" t="s">
        <v>13</v>
      </c>
      <c r="D136" s="3">
        <v>0.8</v>
      </c>
      <c r="E136" s="2" t="s">
        <v>14</v>
      </c>
      <c r="F136" s="2" t="s">
        <v>87</v>
      </c>
      <c r="G136" s="2" t="s">
        <v>54</v>
      </c>
      <c r="H136">
        <v>12</v>
      </c>
      <c r="I136">
        <v>24</v>
      </c>
      <c r="J136" s="2" t="s">
        <v>17</v>
      </c>
      <c r="K136">
        <v>0</v>
      </c>
      <c r="L136" t="str">
        <f>_xlfn.XLOOKUP(G136, CodeDescriptions!B:B, CodeDescriptions!C:C, "Unknown")</f>
        <v>TRACK SWITCH FAILURE</v>
      </c>
    </row>
    <row r="137" spans="1:12" x14ac:dyDescent="0.2">
      <c r="A137">
        <v>136</v>
      </c>
      <c r="B137" s="1">
        <v>46005</v>
      </c>
      <c r="C137" s="2" t="s">
        <v>13</v>
      </c>
      <c r="D137" s="3">
        <v>0.81388888888888888</v>
      </c>
      <c r="E137" s="2" t="s">
        <v>14</v>
      </c>
      <c r="F137" s="2" t="s">
        <v>15</v>
      </c>
      <c r="G137" s="2" t="s">
        <v>72</v>
      </c>
      <c r="H137">
        <v>0</v>
      </c>
      <c r="I137">
        <v>0</v>
      </c>
      <c r="J137" s="2" t="s">
        <v>17</v>
      </c>
      <c r="K137">
        <v>6501</v>
      </c>
      <c r="L137" t="str">
        <f>_xlfn.XLOOKUP(G137, CodeDescriptions!B:B, CodeDescriptions!C:C, "Unknown")</f>
        <v>INJURED TTC EMPLOYEE</v>
      </c>
    </row>
    <row r="138" spans="1:12" x14ac:dyDescent="0.2">
      <c r="A138">
        <v>137</v>
      </c>
      <c r="B138" s="1">
        <v>46006</v>
      </c>
      <c r="C138" s="2" t="s">
        <v>13</v>
      </c>
      <c r="D138" s="3">
        <v>8.4027777777777785E-2</v>
      </c>
      <c r="E138" s="2" t="s">
        <v>40</v>
      </c>
      <c r="F138" s="2" t="s">
        <v>88</v>
      </c>
      <c r="G138" s="2" t="s">
        <v>55</v>
      </c>
      <c r="H138">
        <v>0</v>
      </c>
      <c r="I138">
        <v>0</v>
      </c>
      <c r="J138" s="2" t="s">
        <v>24</v>
      </c>
      <c r="K138">
        <v>0</v>
      </c>
      <c r="L138" t="str">
        <f>_xlfn.XLOOKUP(G138, CodeDescriptions!B:B, CodeDescriptions!C:C, "Unknown")</f>
        <v>SECURITY OTHER</v>
      </c>
    </row>
    <row r="139" spans="1:12" x14ac:dyDescent="0.2">
      <c r="A139">
        <v>138</v>
      </c>
      <c r="B139" s="1">
        <v>46006</v>
      </c>
      <c r="C139" s="2" t="s">
        <v>13</v>
      </c>
      <c r="D139" s="3">
        <v>0.32847222222222222</v>
      </c>
      <c r="E139" s="2" t="s">
        <v>40</v>
      </c>
      <c r="F139" s="2" t="s">
        <v>44</v>
      </c>
      <c r="G139" s="2" t="s">
        <v>19</v>
      </c>
      <c r="H139">
        <v>4</v>
      </c>
      <c r="I139">
        <v>7</v>
      </c>
      <c r="J139" s="2" t="s">
        <v>17</v>
      </c>
      <c r="K139">
        <v>6505</v>
      </c>
      <c r="L139" t="str">
        <f>_xlfn.XLOOKUP(G139, CodeDescriptions!B:B, CodeDescriptions!C:C, "Unknown")</f>
        <v>TRACTION MOTORS</v>
      </c>
    </row>
    <row r="140" spans="1:12" x14ac:dyDescent="0.2">
      <c r="A140">
        <v>139</v>
      </c>
      <c r="B140" s="1">
        <v>46006</v>
      </c>
      <c r="C140" s="2" t="s">
        <v>13</v>
      </c>
      <c r="D140" s="3">
        <v>0.33958333333333335</v>
      </c>
      <c r="E140" s="2" t="s">
        <v>40</v>
      </c>
      <c r="F140" s="2" t="s">
        <v>89</v>
      </c>
      <c r="G140" s="2" t="s">
        <v>45</v>
      </c>
      <c r="H140">
        <v>0</v>
      </c>
      <c r="I140">
        <v>0</v>
      </c>
      <c r="J140" s="2" t="s">
        <v>17</v>
      </c>
      <c r="K140">
        <v>6511</v>
      </c>
      <c r="L140" t="str">
        <f>_xlfn.XLOOKUP(G140, CodeDescriptions!B:B, CodeDescriptions!C:C, "Unknown")</f>
        <v>OPERATOR OVERSPEED</v>
      </c>
    </row>
    <row r="141" spans="1:12" x14ac:dyDescent="0.2">
      <c r="A141">
        <v>140</v>
      </c>
      <c r="B141" s="1">
        <v>46006</v>
      </c>
      <c r="C141" s="2" t="s">
        <v>13</v>
      </c>
      <c r="D141" s="3">
        <v>0.36805555555555558</v>
      </c>
      <c r="E141" s="2" t="s">
        <v>40</v>
      </c>
      <c r="F141" s="2" t="s">
        <v>15</v>
      </c>
      <c r="G141" s="2" t="s">
        <v>22</v>
      </c>
      <c r="H141">
        <v>4</v>
      </c>
      <c r="I141">
        <v>8</v>
      </c>
      <c r="J141" s="2" t="s">
        <v>17</v>
      </c>
      <c r="K141">
        <v>6515</v>
      </c>
      <c r="L141" t="str">
        <f>_xlfn.XLOOKUP(G141, CodeDescriptions!B:B, CodeDescriptions!C:C, "Unknown")</f>
        <v>BODY</v>
      </c>
    </row>
    <row r="142" spans="1:12" x14ac:dyDescent="0.2">
      <c r="A142">
        <v>141</v>
      </c>
      <c r="B142" s="1">
        <v>46006</v>
      </c>
      <c r="C142" s="2" t="s">
        <v>13</v>
      </c>
      <c r="D142" s="3">
        <v>0.39652777777777776</v>
      </c>
      <c r="E142" s="2" t="s">
        <v>40</v>
      </c>
      <c r="F142" s="2" t="s">
        <v>90</v>
      </c>
      <c r="G142" s="2" t="s">
        <v>45</v>
      </c>
      <c r="H142">
        <v>0</v>
      </c>
      <c r="I142">
        <v>0</v>
      </c>
      <c r="J142" s="2" t="s">
        <v>1</v>
      </c>
      <c r="K142">
        <v>6516</v>
      </c>
      <c r="L142" t="str">
        <f>_xlfn.XLOOKUP(G142, CodeDescriptions!B:B, CodeDescriptions!C:C, "Unknown")</f>
        <v>OPERATOR OVERSPEED</v>
      </c>
    </row>
    <row r="143" spans="1:12" x14ac:dyDescent="0.2">
      <c r="A143">
        <v>142</v>
      </c>
      <c r="B143" s="1">
        <v>46006</v>
      </c>
      <c r="C143" s="2" t="s">
        <v>13</v>
      </c>
      <c r="D143" s="3">
        <v>0.41319444444444442</v>
      </c>
      <c r="E143" s="2" t="s">
        <v>40</v>
      </c>
      <c r="F143" s="2" t="s">
        <v>15</v>
      </c>
      <c r="G143" s="2" t="s">
        <v>23</v>
      </c>
      <c r="H143">
        <v>5</v>
      </c>
      <c r="I143">
        <v>9</v>
      </c>
      <c r="J143" s="2" t="s">
        <v>17</v>
      </c>
      <c r="K143">
        <v>6503</v>
      </c>
      <c r="L143" t="str">
        <f>_xlfn.XLOOKUP(G143, CodeDescriptions!B:B, CodeDescriptions!C:C, "Unknown")</f>
        <v>MISCELLANEOUS TRANSPORTATION OTHER (EMPLOYEE NON-CHARGEABLE)</v>
      </c>
    </row>
    <row r="144" spans="1:12" x14ac:dyDescent="0.2">
      <c r="A144">
        <v>143</v>
      </c>
      <c r="B144" s="1">
        <v>46006</v>
      </c>
      <c r="C144" s="2" t="s">
        <v>13</v>
      </c>
      <c r="D144" s="3">
        <v>0.50763888888888886</v>
      </c>
      <c r="E144" s="2" t="s">
        <v>40</v>
      </c>
      <c r="F144" s="2" t="s">
        <v>87</v>
      </c>
      <c r="G144" s="2" t="s">
        <v>54</v>
      </c>
      <c r="H144">
        <v>0</v>
      </c>
      <c r="I144">
        <v>0</v>
      </c>
      <c r="J144" s="2" t="s">
        <v>24</v>
      </c>
      <c r="K144">
        <v>0</v>
      </c>
      <c r="L144" t="str">
        <f>_xlfn.XLOOKUP(G144, CodeDescriptions!B:B, CodeDescriptions!C:C, "Unknown")</f>
        <v>TRACK SWITCH FAILURE</v>
      </c>
    </row>
    <row r="145" spans="1:12" x14ac:dyDescent="0.2">
      <c r="A145">
        <v>144</v>
      </c>
      <c r="B145" s="1">
        <v>46006</v>
      </c>
      <c r="C145" s="2" t="s">
        <v>13</v>
      </c>
      <c r="D145" s="3">
        <v>0.58888888888888891</v>
      </c>
      <c r="E145" s="2" t="s">
        <v>40</v>
      </c>
      <c r="F145" s="2" t="s">
        <v>64</v>
      </c>
      <c r="G145" s="2" t="s">
        <v>26</v>
      </c>
      <c r="H145">
        <v>7</v>
      </c>
      <c r="I145">
        <v>17</v>
      </c>
      <c r="J145" s="2" t="s">
        <v>1</v>
      </c>
      <c r="K145">
        <v>6504</v>
      </c>
      <c r="L145" t="str">
        <f>_xlfn.XLOOKUP(G145, CodeDescriptions!B:B, CodeDescriptions!C:C, "Unknown")</f>
        <v>EQUIPMENT - OTHER</v>
      </c>
    </row>
    <row r="146" spans="1:12" x14ac:dyDescent="0.2">
      <c r="A146">
        <v>145</v>
      </c>
      <c r="B146" s="1">
        <v>46006</v>
      </c>
      <c r="C146" s="2" t="s">
        <v>13</v>
      </c>
      <c r="D146" s="3">
        <v>0.64513888888888893</v>
      </c>
      <c r="E146" s="2" t="s">
        <v>40</v>
      </c>
      <c r="F146" s="2" t="s">
        <v>35</v>
      </c>
      <c r="G146" s="2" t="s">
        <v>91</v>
      </c>
      <c r="H146">
        <v>4</v>
      </c>
      <c r="I146">
        <v>10</v>
      </c>
      <c r="J146" s="2" t="s">
        <v>1</v>
      </c>
      <c r="K146">
        <v>6516</v>
      </c>
      <c r="L146" t="str">
        <f>_xlfn.XLOOKUP(G146, CodeDescriptions!B:B, CodeDescriptions!C:C, "Unknown")</f>
        <v>EA – NO TROUBLE FOUND</v>
      </c>
    </row>
    <row r="147" spans="1:12" x14ac:dyDescent="0.2">
      <c r="A147">
        <v>146</v>
      </c>
      <c r="B147" s="1">
        <v>46006</v>
      </c>
      <c r="C147" s="2" t="s">
        <v>13</v>
      </c>
      <c r="D147" s="3">
        <v>0.65277777777777779</v>
      </c>
      <c r="E147" s="2" t="s">
        <v>40</v>
      </c>
      <c r="F147" s="2" t="s">
        <v>70</v>
      </c>
      <c r="G147" s="2" t="s">
        <v>46</v>
      </c>
      <c r="H147">
        <v>6</v>
      </c>
      <c r="I147">
        <v>12</v>
      </c>
      <c r="J147" s="2" t="s">
        <v>1</v>
      </c>
      <c r="K147">
        <v>6512</v>
      </c>
      <c r="L147" t="str">
        <f>_xlfn.XLOOKUP(G147, CodeDescriptions!B:B, CodeDescriptions!C:C, "Unknown")</f>
        <v>HVAC</v>
      </c>
    </row>
    <row r="148" spans="1:12" x14ac:dyDescent="0.2">
      <c r="A148">
        <v>147</v>
      </c>
      <c r="B148" s="1">
        <v>46006</v>
      </c>
      <c r="C148" s="2" t="s">
        <v>13</v>
      </c>
      <c r="D148" s="3">
        <v>0.66666666666666663</v>
      </c>
      <c r="E148" s="2" t="s">
        <v>40</v>
      </c>
      <c r="F148" s="2" t="s">
        <v>15</v>
      </c>
      <c r="G148" s="2" t="s">
        <v>92</v>
      </c>
      <c r="H148">
        <v>6</v>
      </c>
      <c r="I148">
        <v>12</v>
      </c>
      <c r="J148" s="2" t="s">
        <v>17</v>
      </c>
      <c r="K148">
        <v>6509</v>
      </c>
      <c r="L148" t="str">
        <f>_xlfn.XLOOKUP(G148, CodeDescriptions!B:B, CodeDescriptions!C:C, "Unknown")</f>
        <v>DEBRIS AT TRACK LEVEL – NON-CONTROLLABLE</v>
      </c>
    </row>
    <row r="149" spans="1:12" x14ac:dyDescent="0.2">
      <c r="A149">
        <v>148</v>
      </c>
      <c r="B149" s="1">
        <v>46006</v>
      </c>
      <c r="C149" s="2" t="s">
        <v>13</v>
      </c>
      <c r="D149" s="3">
        <v>0.71250000000000002</v>
      </c>
      <c r="E149" s="2" t="s">
        <v>40</v>
      </c>
      <c r="F149" s="2" t="s">
        <v>47</v>
      </c>
      <c r="G149" s="2" t="s">
        <v>71</v>
      </c>
      <c r="H149">
        <v>0</v>
      </c>
      <c r="I149">
        <v>0</v>
      </c>
      <c r="J149" s="2" t="s">
        <v>1</v>
      </c>
      <c r="K149">
        <v>0</v>
      </c>
      <c r="L149" t="str">
        <f>_xlfn.XLOOKUP(G149, CodeDescriptions!B:B, CodeDescriptions!C:C, "Unknown")</f>
        <v>NO EQUIPMENT AVAILABLE</v>
      </c>
    </row>
    <row r="150" spans="1:12" x14ac:dyDescent="0.2">
      <c r="A150">
        <v>149</v>
      </c>
      <c r="B150" s="1">
        <v>46006</v>
      </c>
      <c r="C150" s="2" t="s">
        <v>13</v>
      </c>
      <c r="D150" s="3">
        <v>0.93819444444444444</v>
      </c>
      <c r="E150" s="2" t="s">
        <v>40</v>
      </c>
      <c r="F150" s="2" t="s">
        <v>50</v>
      </c>
      <c r="G150" s="2" t="s">
        <v>26</v>
      </c>
      <c r="H150">
        <v>0</v>
      </c>
      <c r="I150">
        <v>0</v>
      </c>
      <c r="J150" s="2" t="s">
        <v>1</v>
      </c>
      <c r="K150">
        <v>6514</v>
      </c>
      <c r="L150" t="str">
        <f>_xlfn.XLOOKUP(G150, CodeDescriptions!B:B, CodeDescriptions!C:C, "Unknown")</f>
        <v>EQUIPMENT - OTHER</v>
      </c>
    </row>
    <row r="151" spans="1:12" x14ac:dyDescent="0.2">
      <c r="A151">
        <v>150</v>
      </c>
      <c r="B151" s="1">
        <v>46007</v>
      </c>
      <c r="C151" s="2" t="s">
        <v>13</v>
      </c>
      <c r="D151" s="3">
        <v>0.20416666666666666</v>
      </c>
      <c r="E151" s="2" t="s">
        <v>52</v>
      </c>
      <c r="F151" s="2" t="s">
        <v>21</v>
      </c>
      <c r="G151" s="2" t="s">
        <v>74</v>
      </c>
      <c r="H151">
        <v>26</v>
      </c>
      <c r="I151">
        <v>36</v>
      </c>
      <c r="J151" s="2" t="s">
        <v>24</v>
      </c>
      <c r="K151">
        <v>6509</v>
      </c>
      <c r="L151" t="str">
        <f>_xlfn.XLOOKUP(G151, CodeDescriptions!B:B, CodeDescriptions!C:C, "Unknown")</f>
        <v>GIDS ACTIVATION</v>
      </c>
    </row>
    <row r="152" spans="1:12" x14ac:dyDescent="0.2">
      <c r="A152">
        <v>151</v>
      </c>
      <c r="B152" s="1">
        <v>46007</v>
      </c>
      <c r="C152" s="2" t="s">
        <v>13</v>
      </c>
      <c r="D152" s="3">
        <v>0.21319444444444444</v>
      </c>
      <c r="E152" s="2" t="s">
        <v>52</v>
      </c>
      <c r="F152" s="2" t="s">
        <v>44</v>
      </c>
      <c r="G152" s="2" t="s">
        <v>26</v>
      </c>
      <c r="H152">
        <v>0</v>
      </c>
      <c r="I152">
        <v>0</v>
      </c>
      <c r="J152" s="2" t="s">
        <v>1</v>
      </c>
      <c r="K152">
        <v>6511</v>
      </c>
      <c r="L152" t="str">
        <f>_xlfn.XLOOKUP(G152, CodeDescriptions!B:B, CodeDescriptions!C:C, "Unknown")</f>
        <v>EQUIPMENT - OTHER</v>
      </c>
    </row>
    <row r="153" spans="1:12" x14ac:dyDescent="0.2">
      <c r="A153">
        <v>152</v>
      </c>
      <c r="B153" s="1">
        <v>46007</v>
      </c>
      <c r="C153" s="2" t="s">
        <v>13</v>
      </c>
      <c r="D153" s="3">
        <v>0.21736111111111112</v>
      </c>
      <c r="E153" s="2" t="s">
        <v>52</v>
      </c>
      <c r="F153" s="2" t="s">
        <v>62</v>
      </c>
      <c r="G153" s="2" t="s">
        <v>45</v>
      </c>
      <c r="H153">
        <v>0</v>
      </c>
      <c r="I153">
        <v>0</v>
      </c>
      <c r="J153" s="2" t="s">
        <v>17</v>
      </c>
      <c r="K153">
        <v>6508</v>
      </c>
      <c r="L153" t="str">
        <f>_xlfn.XLOOKUP(G153, CodeDescriptions!B:B, CodeDescriptions!C:C, "Unknown")</f>
        <v>OPERATOR OVERSPEED</v>
      </c>
    </row>
    <row r="154" spans="1:12" x14ac:dyDescent="0.2">
      <c r="A154">
        <v>153</v>
      </c>
      <c r="B154" s="1">
        <v>46007</v>
      </c>
      <c r="C154" s="2" t="s">
        <v>13</v>
      </c>
      <c r="D154" s="3">
        <v>0.25416666666666665</v>
      </c>
      <c r="E154" s="2" t="s">
        <v>52</v>
      </c>
      <c r="F154" s="2" t="s">
        <v>34</v>
      </c>
      <c r="G154" s="2" t="s">
        <v>31</v>
      </c>
      <c r="H154">
        <v>0</v>
      </c>
      <c r="I154">
        <v>0</v>
      </c>
      <c r="J154" s="2" t="s">
        <v>17</v>
      </c>
      <c r="K154">
        <v>6504</v>
      </c>
      <c r="L154" t="str">
        <f>_xlfn.XLOOKUP(G154, CodeDescriptions!B:B, CodeDescriptions!C:C, "Unknown")</f>
        <v>OPERATOR OVERSHOT PLATFORM</v>
      </c>
    </row>
    <row r="155" spans="1:12" x14ac:dyDescent="0.2">
      <c r="A155">
        <v>154</v>
      </c>
      <c r="B155" s="1">
        <v>46007</v>
      </c>
      <c r="C155" s="2" t="s">
        <v>13</v>
      </c>
      <c r="D155" s="3">
        <v>0.28611111111111109</v>
      </c>
      <c r="E155" s="2" t="s">
        <v>52</v>
      </c>
      <c r="F155" s="2" t="s">
        <v>93</v>
      </c>
      <c r="G155" s="2" t="s">
        <v>94</v>
      </c>
      <c r="H155">
        <v>0</v>
      </c>
      <c r="I155">
        <v>0</v>
      </c>
      <c r="J155" s="2" t="s">
        <v>24</v>
      </c>
      <c r="K155">
        <v>0</v>
      </c>
      <c r="L155" t="str">
        <f>_xlfn.XLOOKUP(G155, CodeDescriptions!B:B, CodeDescriptions!C:C, "Unknown")</f>
        <v>SCADA-RELATED PROBLEMS</v>
      </c>
    </row>
    <row r="156" spans="1:12" x14ac:dyDescent="0.2">
      <c r="A156">
        <v>155</v>
      </c>
      <c r="B156" s="1">
        <v>46007</v>
      </c>
      <c r="C156" s="2" t="s">
        <v>13</v>
      </c>
      <c r="D156" s="3">
        <v>0.30833333333333335</v>
      </c>
      <c r="E156" s="2" t="s">
        <v>52</v>
      </c>
      <c r="F156" s="2" t="s">
        <v>95</v>
      </c>
      <c r="G156" s="2" t="s">
        <v>46</v>
      </c>
      <c r="H156">
        <v>15</v>
      </c>
      <c r="I156">
        <v>19</v>
      </c>
      <c r="J156" s="2" t="s">
        <v>24</v>
      </c>
      <c r="K156">
        <v>6502</v>
      </c>
      <c r="L156" t="str">
        <f>_xlfn.XLOOKUP(G156, CodeDescriptions!B:B, CodeDescriptions!C:C, "Unknown")</f>
        <v>HVAC</v>
      </c>
    </row>
    <row r="157" spans="1:12" x14ac:dyDescent="0.2">
      <c r="A157">
        <v>156</v>
      </c>
      <c r="B157" s="1">
        <v>46007</v>
      </c>
      <c r="C157" s="2" t="s">
        <v>13</v>
      </c>
      <c r="D157" s="3">
        <v>0.36875000000000002</v>
      </c>
      <c r="E157" s="2" t="s">
        <v>52</v>
      </c>
      <c r="F157" s="2" t="s">
        <v>44</v>
      </c>
      <c r="G157" s="2" t="s">
        <v>20</v>
      </c>
      <c r="H157">
        <v>23</v>
      </c>
      <c r="I157">
        <v>27</v>
      </c>
      <c r="J157" s="2" t="s">
        <v>17</v>
      </c>
      <c r="K157">
        <v>6507</v>
      </c>
      <c r="L157" t="str">
        <f>_xlfn.XLOOKUP(G157, CodeDescriptions!B:B, CodeDescriptions!C:C, "Unknown")</f>
        <v>BRAKES</v>
      </c>
    </row>
    <row r="158" spans="1:12" x14ac:dyDescent="0.2">
      <c r="A158">
        <v>157</v>
      </c>
      <c r="B158" s="1">
        <v>46007</v>
      </c>
      <c r="C158" s="2" t="s">
        <v>13</v>
      </c>
      <c r="D158" s="3">
        <v>0.39097222222222222</v>
      </c>
      <c r="E158" s="2" t="s">
        <v>52</v>
      </c>
      <c r="F158" s="2" t="s">
        <v>50</v>
      </c>
      <c r="G158" s="2" t="s">
        <v>26</v>
      </c>
      <c r="H158">
        <v>0</v>
      </c>
      <c r="I158">
        <v>0</v>
      </c>
      <c r="J158" s="2" t="s">
        <v>1</v>
      </c>
      <c r="K158">
        <v>6515</v>
      </c>
      <c r="L158" t="str">
        <f>_xlfn.XLOOKUP(G158, CodeDescriptions!B:B, CodeDescriptions!C:C, "Unknown")</f>
        <v>EQUIPMENT - OTHER</v>
      </c>
    </row>
    <row r="159" spans="1:12" x14ac:dyDescent="0.2">
      <c r="A159">
        <v>158</v>
      </c>
      <c r="B159" s="1">
        <v>46007</v>
      </c>
      <c r="C159" s="2" t="s">
        <v>13</v>
      </c>
      <c r="D159" s="3">
        <v>0.46736111111111112</v>
      </c>
      <c r="E159" s="2" t="s">
        <v>52</v>
      </c>
      <c r="F159" s="2" t="s">
        <v>18</v>
      </c>
      <c r="G159" s="2" t="s">
        <v>91</v>
      </c>
      <c r="H159">
        <v>0</v>
      </c>
      <c r="I159">
        <v>0</v>
      </c>
      <c r="J159" s="2" t="s">
        <v>17</v>
      </c>
      <c r="K159">
        <v>6504</v>
      </c>
      <c r="L159" t="str">
        <f>_xlfn.XLOOKUP(G159, CodeDescriptions!B:B, CodeDescriptions!C:C, "Unknown")</f>
        <v>EA – NO TROUBLE FOUND</v>
      </c>
    </row>
    <row r="160" spans="1:12" x14ac:dyDescent="0.2">
      <c r="A160">
        <v>159</v>
      </c>
      <c r="B160" s="1">
        <v>46007</v>
      </c>
      <c r="C160" s="2" t="s">
        <v>13</v>
      </c>
      <c r="D160" s="3">
        <v>0.4909722222222222</v>
      </c>
      <c r="E160" s="2" t="s">
        <v>52</v>
      </c>
      <c r="F160" s="2" t="s">
        <v>15</v>
      </c>
      <c r="G160" s="2" t="s">
        <v>46</v>
      </c>
      <c r="H160">
        <v>5</v>
      </c>
      <c r="I160">
        <v>15</v>
      </c>
      <c r="J160" s="2" t="s">
        <v>17</v>
      </c>
      <c r="K160">
        <v>6501</v>
      </c>
      <c r="L160" t="str">
        <f>_xlfn.XLOOKUP(G160, CodeDescriptions!B:B, CodeDescriptions!C:C, "Unknown")</f>
        <v>HVAC</v>
      </c>
    </row>
    <row r="161" spans="1:12" x14ac:dyDescent="0.2">
      <c r="A161">
        <v>160</v>
      </c>
      <c r="B161" s="1">
        <v>46007</v>
      </c>
      <c r="C161" s="2" t="s">
        <v>13</v>
      </c>
      <c r="D161" s="3">
        <v>0.63958333333333328</v>
      </c>
      <c r="E161" s="2" t="s">
        <v>52</v>
      </c>
      <c r="F161" s="2" t="s">
        <v>96</v>
      </c>
      <c r="G161" s="2" t="s">
        <v>73</v>
      </c>
      <c r="H161">
        <v>25</v>
      </c>
      <c r="I161">
        <v>32</v>
      </c>
      <c r="J161" s="2" t="s">
        <v>17</v>
      </c>
      <c r="K161">
        <v>6503</v>
      </c>
      <c r="L161" t="str">
        <f>_xlfn.XLOOKUP(G161, CodeDescriptions!B:B, CodeDescriptions!C:C, "Unknown")</f>
        <v>COMMUNICATION EQUIPMENT (INCLUDES STOP ANNOUNCEMENT)</v>
      </c>
    </row>
    <row r="162" spans="1:12" x14ac:dyDescent="0.2">
      <c r="A162">
        <v>161</v>
      </c>
      <c r="B162" s="1">
        <v>46008</v>
      </c>
      <c r="C162" s="2" t="s">
        <v>13</v>
      </c>
      <c r="D162" s="3">
        <v>0.23680555555555555</v>
      </c>
      <c r="E162" s="2" t="s">
        <v>59</v>
      </c>
      <c r="F162" s="2" t="s">
        <v>21</v>
      </c>
      <c r="G162" s="2" t="s">
        <v>26</v>
      </c>
      <c r="H162">
        <v>0</v>
      </c>
      <c r="I162">
        <v>0</v>
      </c>
      <c r="J162" s="2" t="s">
        <v>1</v>
      </c>
      <c r="K162">
        <v>6517</v>
      </c>
      <c r="L162" t="str">
        <f>_xlfn.XLOOKUP(G162, CodeDescriptions!B:B, CodeDescriptions!C:C, "Unknown")</f>
        <v>EQUIPMENT - OTHER</v>
      </c>
    </row>
    <row r="163" spans="1:12" x14ac:dyDescent="0.2">
      <c r="A163">
        <v>162</v>
      </c>
      <c r="B163" s="1">
        <v>46008</v>
      </c>
      <c r="C163" s="2" t="s">
        <v>13</v>
      </c>
      <c r="D163" s="3">
        <v>0.28541666666666665</v>
      </c>
      <c r="E163" s="2" t="s">
        <v>59</v>
      </c>
      <c r="F163" s="2" t="s">
        <v>30</v>
      </c>
      <c r="G163" s="2" t="s">
        <v>26</v>
      </c>
      <c r="H163">
        <v>5</v>
      </c>
      <c r="I163">
        <v>11</v>
      </c>
      <c r="J163" s="2" t="s">
        <v>17</v>
      </c>
      <c r="K163">
        <v>6507</v>
      </c>
      <c r="L163" t="str">
        <f>_xlfn.XLOOKUP(G163, CodeDescriptions!B:B, CodeDescriptions!C:C, "Unknown")</f>
        <v>EQUIPMENT - OTHER</v>
      </c>
    </row>
    <row r="164" spans="1:12" x14ac:dyDescent="0.2">
      <c r="A164">
        <v>163</v>
      </c>
      <c r="B164" s="1">
        <v>46008</v>
      </c>
      <c r="C164" s="2" t="s">
        <v>13</v>
      </c>
      <c r="D164" s="3">
        <v>0.2902777777777778</v>
      </c>
      <c r="E164" s="2" t="s">
        <v>59</v>
      </c>
      <c r="F164" s="2" t="s">
        <v>44</v>
      </c>
      <c r="G164" s="2" t="s">
        <v>46</v>
      </c>
      <c r="H164">
        <v>0</v>
      </c>
      <c r="I164">
        <v>0</v>
      </c>
      <c r="J164" s="2" t="s">
        <v>17</v>
      </c>
      <c r="K164">
        <v>6516</v>
      </c>
      <c r="L164" t="str">
        <f>_xlfn.XLOOKUP(G164, CodeDescriptions!B:B, CodeDescriptions!C:C, "Unknown")</f>
        <v>HVAC</v>
      </c>
    </row>
    <row r="165" spans="1:12" x14ac:dyDescent="0.2">
      <c r="A165">
        <v>164</v>
      </c>
      <c r="B165" s="1">
        <v>46008</v>
      </c>
      <c r="C165" s="2" t="s">
        <v>13</v>
      </c>
      <c r="D165" s="3">
        <v>0.29166666666666669</v>
      </c>
      <c r="E165" s="2" t="s">
        <v>59</v>
      </c>
      <c r="F165" s="2" t="s">
        <v>21</v>
      </c>
      <c r="G165" s="2" t="s">
        <v>26</v>
      </c>
      <c r="H165">
        <v>0</v>
      </c>
      <c r="I165">
        <v>0</v>
      </c>
      <c r="J165" s="2" t="s">
        <v>1</v>
      </c>
      <c r="K165">
        <v>6515</v>
      </c>
      <c r="L165" t="str">
        <f>_xlfn.XLOOKUP(G165, CodeDescriptions!B:B, CodeDescriptions!C:C, "Unknown")</f>
        <v>EQUIPMENT - OTHER</v>
      </c>
    </row>
    <row r="166" spans="1:12" x14ac:dyDescent="0.2">
      <c r="A166">
        <v>165</v>
      </c>
      <c r="B166" s="1">
        <v>46008</v>
      </c>
      <c r="C166" s="2" t="s">
        <v>13</v>
      </c>
      <c r="D166" s="3">
        <v>0.29444444444444445</v>
      </c>
      <c r="E166" s="2" t="s">
        <v>59</v>
      </c>
      <c r="F166" s="2" t="s">
        <v>28</v>
      </c>
      <c r="G166" s="2" t="s">
        <v>26</v>
      </c>
      <c r="H166">
        <v>0</v>
      </c>
      <c r="I166">
        <v>0</v>
      </c>
      <c r="J166" s="2" t="s">
        <v>17</v>
      </c>
      <c r="K166">
        <v>6517</v>
      </c>
      <c r="L166" t="str">
        <f>_xlfn.XLOOKUP(G166, CodeDescriptions!B:B, CodeDescriptions!C:C, "Unknown")</f>
        <v>EQUIPMENT - OTHER</v>
      </c>
    </row>
    <row r="167" spans="1:12" x14ac:dyDescent="0.2">
      <c r="A167">
        <v>166</v>
      </c>
      <c r="B167" s="1">
        <v>46008</v>
      </c>
      <c r="C167" s="2" t="s">
        <v>13</v>
      </c>
      <c r="D167" s="3">
        <v>0.30069444444444443</v>
      </c>
      <c r="E167" s="2" t="s">
        <v>59</v>
      </c>
      <c r="F167" s="2" t="s">
        <v>18</v>
      </c>
      <c r="G167" s="2" t="s">
        <v>26</v>
      </c>
      <c r="H167">
        <v>0</v>
      </c>
      <c r="I167">
        <v>0</v>
      </c>
      <c r="J167" s="2" t="s">
        <v>17</v>
      </c>
      <c r="K167">
        <v>6516</v>
      </c>
      <c r="L167" t="str">
        <f>_xlfn.XLOOKUP(G167, CodeDescriptions!B:B, CodeDescriptions!C:C, "Unknown")</f>
        <v>EQUIPMENT - OTHER</v>
      </c>
    </row>
    <row r="168" spans="1:12" x14ac:dyDescent="0.2">
      <c r="A168">
        <v>167</v>
      </c>
      <c r="B168" s="1">
        <v>46008</v>
      </c>
      <c r="C168" s="2" t="s">
        <v>13</v>
      </c>
      <c r="D168" s="3">
        <v>0.30277777777777776</v>
      </c>
      <c r="E168" s="2" t="s">
        <v>59</v>
      </c>
      <c r="F168" s="2" t="s">
        <v>33</v>
      </c>
      <c r="G168" s="2" t="s">
        <v>26</v>
      </c>
      <c r="H168">
        <v>0</v>
      </c>
      <c r="I168">
        <v>0</v>
      </c>
      <c r="J168" s="2" t="s">
        <v>17</v>
      </c>
      <c r="K168">
        <v>6508</v>
      </c>
      <c r="L168" t="str">
        <f>_xlfn.XLOOKUP(G168, CodeDescriptions!B:B, CodeDescriptions!C:C, "Unknown")</f>
        <v>EQUIPMENT - OTHER</v>
      </c>
    </row>
    <row r="169" spans="1:12" x14ac:dyDescent="0.2">
      <c r="A169">
        <v>168</v>
      </c>
      <c r="B169" s="1">
        <v>46008</v>
      </c>
      <c r="C169" s="2" t="s">
        <v>13</v>
      </c>
      <c r="D169" s="3">
        <v>0.31111111111111112</v>
      </c>
      <c r="E169" s="2" t="s">
        <v>59</v>
      </c>
      <c r="F169" s="2" t="s">
        <v>44</v>
      </c>
      <c r="G169" s="2" t="s">
        <v>26</v>
      </c>
      <c r="H169">
        <v>6</v>
      </c>
      <c r="I169">
        <v>12</v>
      </c>
      <c r="J169" s="2" t="s">
        <v>1</v>
      </c>
      <c r="K169">
        <v>6503</v>
      </c>
      <c r="L169" t="str">
        <f>_xlfn.XLOOKUP(G169, CodeDescriptions!B:B, CodeDescriptions!C:C, "Unknown")</f>
        <v>EQUIPMENT - OTHER</v>
      </c>
    </row>
    <row r="170" spans="1:12" x14ac:dyDescent="0.2">
      <c r="A170">
        <v>169</v>
      </c>
      <c r="B170" s="1">
        <v>46008</v>
      </c>
      <c r="C170" s="2" t="s">
        <v>13</v>
      </c>
      <c r="D170" s="3">
        <v>0.32291666666666669</v>
      </c>
      <c r="E170" s="2" t="s">
        <v>59</v>
      </c>
      <c r="F170" s="2" t="s">
        <v>44</v>
      </c>
      <c r="G170" s="2" t="s">
        <v>71</v>
      </c>
      <c r="H170">
        <v>6</v>
      </c>
      <c r="I170">
        <v>12</v>
      </c>
      <c r="J170" s="2" t="s">
        <v>1</v>
      </c>
      <c r="K170">
        <v>0</v>
      </c>
      <c r="L170" t="str">
        <f>_xlfn.XLOOKUP(G170, CodeDescriptions!B:B, CodeDescriptions!C:C, "Unknown")</f>
        <v>NO EQUIPMENT AVAILABLE</v>
      </c>
    </row>
    <row r="171" spans="1:12" x14ac:dyDescent="0.2">
      <c r="A171">
        <v>170</v>
      </c>
      <c r="B171" s="1">
        <v>46008</v>
      </c>
      <c r="C171" s="2" t="s">
        <v>13</v>
      </c>
      <c r="D171" s="3">
        <v>0.41249999999999998</v>
      </c>
      <c r="E171" s="2" t="s">
        <v>59</v>
      </c>
      <c r="F171" s="2" t="s">
        <v>21</v>
      </c>
      <c r="G171" s="2" t="s">
        <v>45</v>
      </c>
      <c r="H171">
        <v>3</v>
      </c>
      <c r="I171">
        <v>10</v>
      </c>
      <c r="J171" s="2" t="s">
        <v>1</v>
      </c>
      <c r="K171">
        <v>6511</v>
      </c>
      <c r="L171" t="str">
        <f>_xlfn.XLOOKUP(G171, CodeDescriptions!B:B, CodeDescriptions!C:C, "Unknown")</f>
        <v>OPERATOR OVERSPEED</v>
      </c>
    </row>
    <row r="172" spans="1:12" x14ac:dyDescent="0.2">
      <c r="A172">
        <v>171</v>
      </c>
      <c r="B172" s="1">
        <v>46008</v>
      </c>
      <c r="C172" s="2" t="s">
        <v>13</v>
      </c>
      <c r="D172" s="3">
        <v>0.4284722222222222</v>
      </c>
      <c r="E172" s="2" t="s">
        <v>59</v>
      </c>
      <c r="F172" s="2" t="s">
        <v>15</v>
      </c>
      <c r="G172" s="2" t="s">
        <v>26</v>
      </c>
      <c r="H172">
        <v>5</v>
      </c>
      <c r="I172">
        <v>12</v>
      </c>
      <c r="J172" s="2" t="s">
        <v>17</v>
      </c>
      <c r="K172">
        <v>0</v>
      </c>
      <c r="L172" t="str">
        <f>_xlfn.XLOOKUP(G172, CodeDescriptions!B:B, CodeDescriptions!C:C, "Unknown")</f>
        <v>EQUIPMENT - OTHER</v>
      </c>
    </row>
    <row r="173" spans="1:12" x14ac:dyDescent="0.2">
      <c r="A173">
        <v>172</v>
      </c>
      <c r="B173" s="1">
        <v>46008</v>
      </c>
      <c r="C173" s="2" t="s">
        <v>13</v>
      </c>
      <c r="D173" s="3">
        <v>0.44444444444444442</v>
      </c>
      <c r="E173" s="2" t="s">
        <v>59</v>
      </c>
      <c r="F173" s="2" t="s">
        <v>18</v>
      </c>
      <c r="G173" s="2" t="s">
        <v>46</v>
      </c>
      <c r="H173">
        <v>55</v>
      </c>
      <c r="I173">
        <v>62</v>
      </c>
      <c r="J173" s="2" t="s">
        <v>17</v>
      </c>
      <c r="K173">
        <v>6517</v>
      </c>
      <c r="L173" t="str">
        <f>_xlfn.XLOOKUP(G173, CodeDescriptions!B:B, CodeDescriptions!C:C, "Unknown")</f>
        <v>HVAC</v>
      </c>
    </row>
    <row r="174" spans="1:12" x14ac:dyDescent="0.2">
      <c r="A174">
        <v>173</v>
      </c>
      <c r="B174" s="1">
        <v>46008</v>
      </c>
      <c r="C174" s="2" t="s">
        <v>13</v>
      </c>
      <c r="D174" s="3">
        <v>0.50902777777777775</v>
      </c>
      <c r="E174" s="2" t="s">
        <v>59</v>
      </c>
      <c r="F174" s="2" t="s">
        <v>25</v>
      </c>
      <c r="G174" s="2" t="s">
        <v>26</v>
      </c>
      <c r="H174">
        <v>0</v>
      </c>
      <c r="I174">
        <v>0</v>
      </c>
      <c r="J174" s="2" t="s">
        <v>17</v>
      </c>
      <c r="K174">
        <v>6505</v>
      </c>
      <c r="L174" t="str">
        <f>_xlfn.XLOOKUP(G174, CodeDescriptions!B:B, CodeDescriptions!C:C, "Unknown")</f>
        <v>EQUIPMENT - OTHER</v>
      </c>
    </row>
    <row r="175" spans="1:12" x14ac:dyDescent="0.2">
      <c r="A175">
        <v>174</v>
      </c>
      <c r="B175" s="1">
        <v>46008</v>
      </c>
      <c r="C175" s="2" t="s">
        <v>13</v>
      </c>
      <c r="D175" s="3">
        <v>0.63888888888888884</v>
      </c>
      <c r="E175" s="2" t="s">
        <v>59</v>
      </c>
      <c r="F175" s="2" t="s">
        <v>97</v>
      </c>
      <c r="G175" s="2" t="s">
        <v>98</v>
      </c>
      <c r="H175">
        <v>6</v>
      </c>
      <c r="I175">
        <v>12</v>
      </c>
      <c r="J175" s="2" t="s">
        <v>17</v>
      </c>
      <c r="K175">
        <v>6517</v>
      </c>
      <c r="L175" t="str">
        <f>_xlfn.XLOOKUP(G175, CodeDescriptions!B:B, CodeDescriptions!C:C, "Unknown")</f>
        <v>YARD-/CARHOUSE-RELATED PROBLEMS</v>
      </c>
    </row>
    <row r="176" spans="1:12" x14ac:dyDescent="0.2">
      <c r="A176">
        <v>175</v>
      </c>
      <c r="B176" s="1">
        <v>46008</v>
      </c>
      <c r="C176" s="2" t="s">
        <v>13</v>
      </c>
      <c r="D176" s="3">
        <v>0.6645833333333333</v>
      </c>
      <c r="E176" s="2" t="s">
        <v>59</v>
      </c>
      <c r="F176" s="2" t="s">
        <v>99</v>
      </c>
      <c r="G176" s="2" t="s">
        <v>26</v>
      </c>
      <c r="H176">
        <v>6</v>
      </c>
      <c r="I176">
        <v>12</v>
      </c>
      <c r="J176" s="2" t="s">
        <v>17</v>
      </c>
      <c r="K176">
        <v>6517</v>
      </c>
      <c r="L176" t="str">
        <f>_xlfn.XLOOKUP(G176, CodeDescriptions!B:B, CodeDescriptions!C:C, "Unknown")</f>
        <v>EQUIPMENT - OTHER</v>
      </c>
    </row>
    <row r="177" spans="1:12" x14ac:dyDescent="0.2">
      <c r="A177">
        <v>176</v>
      </c>
      <c r="B177" s="1">
        <v>46008</v>
      </c>
      <c r="C177" s="2" t="s">
        <v>13</v>
      </c>
      <c r="D177" s="3">
        <v>0.67638888888888893</v>
      </c>
      <c r="E177" s="2" t="s">
        <v>59</v>
      </c>
      <c r="F177" s="2" t="s">
        <v>70</v>
      </c>
      <c r="G177" s="2" t="s">
        <v>71</v>
      </c>
      <c r="H177">
        <v>6</v>
      </c>
      <c r="I177">
        <v>12</v>
      </c>
      <c r="J177" s="2" t="s">
        <v>1</v>
      </c>
      <c r="K177">
        <v>0</v>
      </c>
      <c r="L177" t="str">
        <f>_xlfn.XLOOKUP(G177, CodeDescriptions!B:B, CodeDescriptions!C:C, "Unknown")</f>
        <v>NO EQUIPMENT AVAILABLE</v>
      </c>
    </row>
    <row r="178" spans="1:12" x14ac:dyDescent="0.2">
      <c r="A178">
        <v>177</v>
      </c>
      <c r="B178" s="1">
        <v>46008</v>
      </c>
      <c r="C178" s="2" t="s">
        <v>13</v>
      </c>
      <c r="D178" s="3">
        <v>0.72013888888888888</v>
      </c>
      <c r="E178" s="2" t="s">
        <v>59</v>
      </c>
      <c r="F178" s="2" t="s">
        <v>15</v>
      </c>
      <c r="G178" s="2" t="s">
        <v>26</v>
      </c>
      <c r="H178">
        <v>10</v>
      </c>
      <c r="I178">
        <v>20</v>
      </c>
      <c r="J178" s="2" t="s">
        <v>17</v>
      </c>
      <c r="K178">
        <v>6515</v>
      </c>
      <c r="L178" t="str">
        <f>_xlfn.XLOOKUP(G178, CodeDescriptions!B:B, CodeDescriptions!C:C, "Unknown")</f>
        <v>EQUIPMENT - OTHER</v>
      </c>
    </row>
    <row r="179" spans="1:12" x14ac:dyDescent="0.2">
      <c r="A179">
        <v>178</v>
      </c>
      <c r="B179" s="1">
        <v>46008</v>
      </c>
      <c r="C179" s="2" t="s">
        <v>13</v>
      </c>
      <c r="D179" s="3">
        <v>0.73333333333333328</v>
      </c>
      <c r="E179" s="2" t="s">
        <v>59</v>
      </c>
      <c r="F179" s="2" t="s">
        <v>34</v>
      </c>
      <c r="G179" s="2" t="s">
        <v>20</v>
      </c>
      <c r="H179">
        <v>5</v>
      </c>
      <c r="I179">
        <v>15</v>
      </c>
      <c r="J179" s="2" t="s">
        <v>24</v>
      </c>
      <c r="K179">
        <v>6511</v>
      </c>
      <c r="L179" t="str">
        <f>_xlfn.XLOOKUP(G179, CodeDescriptions!B:B, CodeDescriptions!C:C, "Unknown")</f>
        <v>BRAKES</v>
      </c>
    </row>
    <row r="180" spans="1:12" x14ac:dyDescent="0.2">
      <c r="A180">
        <v>179</v>
      </c>
      <c r="B180" s="1">
        <v>46008</v>
      </c>
      <c r="C180" s="2" t="s">
        <v>13</v>
      </c>
      <c r="D180" s="3">
        <v>0.81458333333333333</v>
      </c>
      <c r="E180" s="2" t="s">
        <v>59</v>
      </c>
      <c r="F180" s="2" t="s">
        <v>21</v>
      </c>
      <c r="G180" s="2" t="s">
        <v>46</v>
      </c>
      <c r="H180">
        <v>10</v>
      </c>
      <c r="I180">
        <v>20</v>
      </c>
      <c r="J180" s="2" t="s">
        <v>24</v>
      </c>
      <c r="K180">
        <v>6504</v>
      </c>
      <c r="L180" t="str">
        <f>_xlfn.XLOOKUP(G180, CodeDescriptions!B:B, CodeDescriptions!C:C, "Unknown")</f>
        <v>HVAC</v>
      </c>
    </row>
    <row r="181" spans="1:12" x14ac:dyDescent="0.2">
      <c r="A181">
        <v>180</v>
      </c>
      <c r="B181" s="1">
        <v>46008</v>
      </c>
      <c r="C181" s="2" t="s">
        <v>13</v>
      </c>
      <c r="D181" s="3">
        <v>0.85069444444444442</v>
      </c>
      <c r="E181" s="2" t="s">
        <v>59</v>
      </c>
      <c r="F181" s="2" t="s">
        <v>50</v>
      </c>
      <c r="G181" s="2" t="s">
        <v>100</v>
      </c>
      <c r="H181">
        <v>15</v>
      </c>
      <c r="I181">
        <v>25</v>
      </c>
      <c r="J181" s="2" t="s">
        <v>1</v>
      </c>
      <c r="K181">
        <v>6503</v>
      </c>
      <c r="L181" t="str">
        <f>_xlfn.XLOOKUP(G181, CodeDescriptions!B:B, CodeDescriptions!C:C, "Unknown")</f>
        <v>UNABLE TO MAINTAIN SCHEDULE</v>
      </c>
    </row>
    <row r="182" spans="1:12" x14ac:dyDescent="0.2">
      <c r="A182">
        <v>181</v>
      </c>
      <c r="B182" s="1">
        <v>46008</v>
      </c>
      <c r="C182" s="2" t="s">
        <v>13</v>
      </c>
      <c r="D182" s="3">
        <v>0.8569444444444444</v>
      </c>
      <c r="E182" s="2" t="s">
        <v>59</v>
      </c>
      <c r="F182" s="2" t="s">
        <v>62</v>
      </c>
      <c r="G182" s="2" t="s">
        <v>79</v>
      </c>
      <c r="H182">
        <v>8</v>
      </c>
      <c r="I182">
        <v>18</v>
      </c>
      <c r="J182" s="2" t="s">
        <v>17</v>
      </c>
      <c r="K182">
        <v>6502</v>
      </c>
      <c r="L182" t="str">
        <f>_xlfn.XLOOKUP(G182, CodeDescriptions!B:B, CodeDescriptions!C:C, "Unknown")</f>
        <v>S&amp;TCS CARBORNE EQUIPMENT</v>
      </c>
    </row>
    <row r="183" spans="1:12" x14ac:dyDescent="0.2">
      <c r="A183">
        <v>182</v>
      </c>
      <c r="B183" s="1">
        <v>46009</v>
      </c>
      <c r="C183" s="2" t="s">
        <v>13</v>
      </c>
      <c r="D183" s="3">
        <v>0.13402777777777777</v>
      </c>
      <c r="E183" s="2" t="s">
        <v>69</v>
      </c>
      <c r="F183" s="2" t="s">
        <v>101</v>
      </c>
      <c r="G183" s="2" t="s">
        <v>102</v>
      </c>
      <c r="H183">
        <v>0</v>
      </c>
      <c r="I183">
        <v>0</v>
      </c>
      <c r="J183" s="2" t="s">
        <v>24</v>
      </c>
      <c r="K183">
        <v>0</v>
      </c>
      <c r="L183" t="str">
        <f>_xlfn.XLOOKUP(G183, CodeDescriptions!B:B, CodeDescriptions!C:C, "Unknown")</f>
        <v>EMERGENCY ALARM STATIONS</v>
      </c>
    </row>
    <row r="184" spans="1:12" x14ac:dyDescent="0.2">
      <c r="A184">
        <v>183</v>
      </c>
      <c r="B184" s="1">
        <v>46009</v>
      </c>
      <c r="C184" s="2" t="s">
        <v>13</v>
      </c>
      <c r="D184" s="3">
        <v>0.21319444444444444</v>
      </c>
      <c r="E184" s="2" t="s">
        <v>69</v>
      </c>
      <c r="F184" s="2" t="s">
        <v>103</v>
      </c>
      <c r="G184" s="2" t="s">
        <v>26</v>
      </c>
      <c r="H184">
        <v>0</v>
      </c>
      <c r="I184">
        <v>0</v>
      </c>
      <c r="J184" s="2" t="s">
        <v>24</v>
      </c>
      <c r="K184">
        <v>0</v>
      </c>
      <c r="L184" t="str">
        <f>_xlfn.XLOOKUP(G184, CodeDescriptions!B:B, CodeDescriptions!C:C, "Unknown")</f>
        <v>EQUIPMENT - OTHER</v>
      </c>
    </row>
    <row r="185" spans="1:12" x14ac:dyDescent="0.2">
      <c r="A185">
        <v>184</v>
      </c>
      <c r="B185" s="1">
        <v>46009</v>
      </c>
      <c r="C185" s="2" t="s">
        <v>13</v>
      </c>
      <c r="D185" s="3">
        <v>0.21666666666666667</v>
      </c>
      <c r="E185" s="2" t="s">
        <v>69</v>
      </c>
      <c r="F185" s="2" t="s">
        <v>30</v>
      </c>
      <c r="G185" s="2" t="s">
        <v>73</v>
      </c>
      <c r="H185">
        <v>0</v>
      </c>
      <c r="I185">
        <v>0</v>
      </c>
      <c r="J185" s="2" t="s">
        <v>24</v>
      </c>
      <c r="K185">
        <v>6509</v>
      </c>
      <c r="L185" t="str">
        <f>_xlfn.XLOOKUP(G185, CodeDescriptions!B:B, CodeDescriptions!C:C, "Unknown")</f>
        <v>COMMUNICATION EQUIPMENT (INCLUDES STOP ANNOUNCEMENT)</v>
      </c>
    </row>
    <row r="186" spans="1:12" x14ac:dyDescent="0.2">
      <c r="A186">
        <v>185</v>
      </c>
      <c r="B186" s="1">
        <v>46009</v>
      </c>
      <c r="C186" s="2" t="s">
        <v>13</v>
      </c>
      <c r="D186" s="3">
        <v>0.22013888888888888</v>
      </c>
      <c r="E186" s="2" t="s">
        <v>69</v>
      </c>
      <c r="F186" s="2" t="s">
        <v>104</v>
      </c>
      <c r="G186" s="2" t="s">
        <v>26</v>
      </c>
      <c r="H186">
        <v>0</v>
      </c>
      <c r="I186">
        <v>0</v>
      </c>
      <c r="J186" s="2" t="s">
        <v>17</v>
      </c>
      <c r="K186">
        <v>6511</v>
      </c>
      <c r="L186" t="str">
        <f>_xlfn.XLOOKUP(G186, CodeDescriptions!B:B, CodeDescriptions!C:C, "Unknown")</f>
        <v>EQUIPMENT - OTHER</v>
      </c>
    </row>
    <row r="187" spans="1:12" x14ac:dyDescent="0.2">
      <c r="A187">
        <v>186</v>
      </c>
      <c r="B187" s="1">
        <v>46009</v>
      </c>
      <c r="C187" s="2" t="s">
        <v>13</v>
      </c>
      <c r="D187" s="3">
        <v>0.28749999999999998</v>
      </c>
      <c r="E187" s="2" t="s">
        <v>69</v>
      </c>
      <c r="F187" s="2" t="s">
        <v>53</v>
      </c>
      <c r="G187" s="2" t="s">
        <v>105</v>
      </c>
      <c r="H187">
        <v>5</v>
      </c>
      <c r="I187">
        <v>11</v>
      </c>
      <c r="J187" s="2" t="s">
        <v>17</v>
      </c>
      <c r="K187">
        <v>6502</v>
      </c>
      <c r="L187" t="str">
        <f>_xlfn.XLOOKUP(G187, CodeDescriptions!B:B, CodeDescriptions!C:C, "Unknown")</f>
        <v>STRUCTURE-RELATED PROBLEM</v>
      </c>
    </row>
    <row r="188" spans="1:12" x14ac:dyDescent="0.2">
      <c r="A188">
        <v>187</v>
      </c>
      <c r="B188" s="1">
        <v>46009</v>
      </c>
      <c r="C188" s="2" t="s">
        <v>13</v>
      </c>
      <c r="D188" s="3">
        <v>0.30833333333333335</v>
      </c>
      <c r="E188" s="2" t="s">
        <v>69</v>
      </c>
      <c r="F188" s="2" t="s">
        <v>21</v>
      </c>
      <c r="G188" s="2" t="s">
        <v>54</v>
      </c>
      <c r="H188">
        <v>3</v>
      </c>
      <c r="I188">
        <v>9</v>
      </c>
      <c r="J188" s="2" t="s">
        <v>1</v>
      </c>
      <c r="K188">
        <v>6516</v>
      </c>
      <c r="L188" t="str">
        <f>_xlfn.XLOOKUP(G188, CodeDescriptions!B:B, CodeDescriptions!C:C, "Unknown")</f>
        <v>TRACK SWITCH FAILURE</v>
      </c>
    </row>
    <row r="189" spans="1:12" x14ac:dyDescent="0.2">
      <c r="A189">
        <v>188</v>
      </c>
      <c r="B189" s="1">
        <v>46009</v>
      </c>
      <c r="C189" s="2" t="s">
        <v>13</v>
      </c>
      <c r="D189" s="3">
        <v>0.32430555555555557</v>
      </c>
      <c r="E189" s="2" t="s">
        <v>69</v>
      </c>
      <c r="F189" s="2" t="s">
        <v>70</v>
      </c>
      <c r="G189" s="2" t="s">
        <v>71</v>
      </c>
      <c r="H189">
        <v>6</v>
      </c>
      <c r="I189">
        <v>12</v>
      </c>
      <c r="J189" s="2" t="s">
        <v>1</v>
      </c>
      <c r="K189">
        <v>0</v>
      </c>
      <c r="L189" t="str">
        <f>_xlfn.XLOOKUP(G189, CodeDescriptions!B:B, CodeDescriptions!C:C, "Unknown")</f>
        <v>NO EQUIPMENT AVAILABLE</v>
      </c>
    </row>
    <row r="190" spans="1:12" x14ac:dyDescent="0.2">
      <c r="A190">
        <v>189</v>
      </c>
      <c r="B190" s="1">
        <v>46009</v>
      </c>
      <c r="C190" s="2" t="s">
        <v>13</v>
      </c>
      <c r="D190" s="3">
        <v>0.33958333333333335</v>
      </c>
      <c r="E190" s="2" t="s">
        <v>69</v>
      </c>
      <c r="F190" s="2" t="s">
        <v>64</v>
      </c>
      <c r="G190" s="2" t="s">
        <v>19</v>
      </c>
      <c r="H190">
        <v>3</v>
      </c>
      <c r="I190">
        <v>9</v>
      </c>
      <c r="J190" s="2" t="s">
        <v>1</v>
      </c>
      <c r="K190">
        <v>6505</v>
      </c>
      <c r="L190" t="str">
        <f>_xlfn.XLOOKUP(G190, CodeDescriptions!B:B, CodeDescriptions!C:C, "Unknown")</f>
        <v>TRACTION MOTORS</v>
      </c>
    </row>
    <row r="191" spans="1:12" x14ac:dyDescent="0.2">
      <c r="A191">
        <v>190</v>
      </c>
      <c r="B191" s="1">
        <v>46009</v>
      </c>
      <c r="C191" s="2" t="s">
        <v>13</v>
      </c>
      <c r="D191" s="3">
        <v>0.44791666666666669</v>
      </c>
      <c r="E191" s="2" t="s">
        <v>69</v>
      </c>
      <c r="F191" s="2" t="s">
        <v>18</v>
      </c>
      <c r="G191" s="2" t="s">
        <v>22</v>
      </c>
      <c r="H191">
        <v>3</v>
      </c>
      <c r="I191">
        <v>13</v>
      </c>
      <c r="J191" s="2" t="s">
        <v>1</v>
      </c>
      <c r="K191">
        <v>6515</v>
      </c>
      <c r="L191" t="str">
        <f>_xlfn.XLOOKUP(G191, CodeDescriptions!B:B, CodeDescriptions!C:C, "Unknown")</f>
        <v>BODY</v>
      </c>
    </row>
    <row r="192" spans="1:12" x14ac:dyDescent="0.2">
      <c r="A192">
        <v>191</v>
      </c>
      <c r="B192" s="1">
        <v>46009</v>
      </c>
      <c r="C192" s="2" t="s">
        <v>13</v>
      </c>
      <c r="D192" s="3">
        <v>0.45833333333333331</v>
      </c>
      <c r="E192" s="2" t="s">
        <v>69</v>
      </c>
      <c r="F192" s="2" t="s">
        <v>50</v>
      </c>
      <c r="G192" s="2" t="s">
        <v>19</v>
      </c>
      <c r="H192">
        <v>3</v>
      </c>
      <c r="I192">
        <v>13</v>
      </c>
      <c r="J192" s="2" t="s">
        <v>1</v>
      </c>
      <c r="K192">
        <v>6515</v>
      </c>
      <c r="L192" t="str">
        <f>_xlfn.XLOOKUP(G192, CodeDescriptions!B:B, CodeDescriptions!C:C, "Unknown")</f>
        <v>TRACTION MOTORS</v>
      </c>
    </row>
    <row r="193" spans="1:12" x14ac:dyDescent="0.2">
      <c r="A193">
        <v>192</v>
      </c>
      <c r="B193" s="1">
        <v>46009</v>
      </c>
      <c r="C193" s="2" t="s">
        <v>13</v>
      </c>
      <c r="D193" s="3">
        <v>0.48958333333333331</v>
      </c>
      <c r="E193" s="2" t="s">
        <v>69</v>
      </c>
      <c r="F193" s="2" t="s">
        <v>33</v>
      </c>
      <c r="G193" s="2" t="s">
        <v>32</v>
      </c>
      <c r="H193">
        <v>10</v>
      </c>
      <c r="I193">
        <v>20</v>
      </c>
      <c r="J193" s="2" t="s">
        <v>17</v>
      </c>
      <c r="K193">
        <v>6511</v>
      </c>
      <c r="L193" t="str">
        <f>_xlfn.XLOOKUP(G193, CodeDescriptions!B:B, CodeDescriptions!C:C, "Unknown")</f>
        <v>MISCELLANEOUS OTHER</v>
      </c>
    </row>
    <row r="194" spans="1:12" x14ac:dyDescent="0.2">
      <c r="A194">
        <v>193</v>
      </c>
      <c r="B194" s="1">
        <v>46009</v>
      </c>
      <c r="C194" s="2" t="s">
        <v>13</v>
      </c>
      <c r="D194" s="3">
        <v>0.54791666666666672</v>
      </c>
      <c r="E194" s="2" t="s">
        <v>69</v>
      </c>
      <c r="F194" s="2" t="s">
        <v>34</v>
      </c>
      <c r="G194" s="2" t="s">
        <v>32</v>
      </c>
      <c r="H194">
        <v>5</v>
      </c>
      <c r="I194">
        <v>15</v>
      </c>
      <c r="J194" s="2" t="s">
        <v>17</v>
      </c>
      <c r="K194">
        <v>6515</v>
      </c>
      <c r="L194" t="str">
        <f>_xlfn.XLOOKUP(G194, CodeDescriptions!B:B, CodeDescriptions!C:C, "Unknown")</f>
        <v>MISCELLANEOUS OTHER</v>
      </c>
    </row>
    <row r="195" spans="1:12" x14ac:dyDescent="0.2">
      <c r="A195">
        <v>194</v>
      </c>
      <c r="B195" s="1">
        <v>46009</v>
      </c>
      <c r="C195" s="2" t="s">
        <v>13</v>
      </c>
      <c r="D195" s="3">
        <v>0.55763888888888891</v>
      </c>
      <c r="E195" s="2" t="s">
        <v>69</v>
      </c>
      <c r="F195" s="2" t="s">
        <v>106</v>
      </c>
      <c r="G195" s="2" t="s">
        <v>54</v>
      </c>
      <c r="H195">
        <v>0</v>
      </c>
      <c r="I195">
        <v>0</v>
      </c>
      <c r="J195" s="2" t="s">
        <v>24</v>
      </c>
      <c r="K195">
        <v>0</v>
      </c>
      <c r="L195" t="str">
        <f>_xlfn.XLOOKUP(G195, CodeDescriptions!B:B, CodeDescriptions!C:C, "Unknown")</f>
        <v>TRACK SWITCH FAILURE</v>
      </c>
    </row>
    <row r="196" spans="1:12" x14ac:dyDescent="0.2">
      <c r="A196">
        <v>195</v>
      </c>
      <c r="B196" s="1">
        <v>46009</v>
      </c>
      <c r="C196" s="2" t="s">
        <v>13</v>
      </c>
      <c r="D196" s="3">
        <v>0.6333333333333333</v>
      </c>
      <c r="E196" s="2" t="s">
        <v>69</v>
      </c>
      <c r="F196" s="2" t="s">
        <v>107</v>
      </c>
      <c r="G196" s="2" t="s">
        <v>73</v>
      </c>
      <c r="H196">
        <v>6</v>
      </c>
      <c r="I196">
        <v>12</v>
      </c>
      <c r="J196" s="2" t="s">
        <v>1</v>
      </c>
      <c r="K196">
        <v>6505</v>
      </c>
      <c r="L196" t="str">
        <f>_xlfn.XLOOKUP(G196, CodeDescriptions!B:B, CodeDescriptions!C:C, "Unknown")</f>
        <v>COMMUNICATION EQUIPMENT (INCLUDES STOP ANNOUNCEMENT)</v>
      </c>
    </row>
    <row r="197" spans="1:12" x14ac:dyDescent="0.2">
      <c r="A197">
        <v>196</v>
      </c>
      <c r="B197" s="1">
        <v>46009</v>
      </c>
      <c r="C197" s="2" t="s">
        <v>13</v>
      </c>
      <c r="D197" s="3">
        <v>0.6381944444444444</v>
      </c>
      <c r="E197" s="2" t="s">
        <v>69</v>
      </c>
      <c r="F197" s="2" t="s">
        <v>21</v>
      </c>
      <c r="G197" s="2" t="s">
        <v>73</v>
      </c>
      <c r="H197">
        <v>6</v>
      </c>
      <c r="I197">
        <v>12</v>
      </c>
      <c r="J197" s="2" t="s">
        <v>1</v>
      </c>
      <c r="K197">
        <v>6503</v>
      </c>
      <c r="L197" t="str">
        <f>_xlfn.XLOOKUP(G197, CodeDescriptions!B:B, CodeDescriptions!C:C, "Unknown")</f>
        <v>COMMUNICATION EQUIPMENT (INCLUDES STOP ANNOUNCEMENT)</v>
      </c>
    </row>
    <row r="198" spans="1:12" x14ac:dyDescent="0.2">
      <c r="A198">
        <v>197</v>
      </c>
      <c r="B198" s="1">
        <v>46009</v>
      </c>
      <c r="C198" s="2" t="s">
        <v>13</v>
      </c>
      <c r="D198" s="3">
        <v>0.78888888888888886</v>
      </c>
      <c r="E198" s="2" t="s">
        <v>69</v>
      </c>
      <c r="F198" s="2" t="s">
        <v>44</v>
      </c>
      <c r="G198" s="2" t="s">
        <v>71</v>
      </c>
      <c r="H198">
        <v>6</v>
      </c>
      <c r="I198">
        <v>12</v>
      </c>
      <c r="J198" s="2" t="s">
        <v>1</v>
      </c>
      <c r="K198">
        <v>0</v>
      </c>
      <c r="L198" t="str">
        <f>_xlfn.XLOOKUP(G198, CodeDescriptions!B:B, CodeDescriptions!C:C, "Unknown")</f>
        <v>NO EQUIPMENT AVAILABLE</v>
      </c>
    </row>
    <row r="199" spans="1:12" x14ac:dyDescent="0.2">
      <c r="A199">
        <v>198</v>
      </c>
      <c r="B199" s="1">
        <v>46010</v>
      </c>
      <c r="C199" s="2" t="s">
        <v>13</v>
      </c>
      <c r="D199" s="3">
        <v>0.27500000000000002</v>
      </c>
      <c r="E199" s="2" t="s">
        <v>75</v>
      </c>
      <c r="F199" s="2" t="s">
        <v>15</v>
      </c>
      <c r="G199" s="2" t="s">
        <v>26</v>
      </c>
      <c r="H199">
        <v>10</v>
      </c>
      <c r="I199">
        <v>20</v>
      </c>
      <c r="J199" s="2" t="s">
        <v>17</v>
      </c>
      <c r="K199">
        <v>6500</v>
      </c>
      <c r="L199" t="str">
        <f>_xlfn.XLOOKUP(G199, CodeDescriptions!B:B, CodeDescriptions!C:C, "Unknown")</f>
        <v>EQUIPMENT - OTHER</v>
      </c>
    </row>
    <row r="200" spans="1:12" x14ac:dyDescent="0.2">
      <c r="A200">
        <v>199</v>
      </c>
      <c r="B200" s="1">
        <v>46010</v>
      </c>
      <c r="C200" s="2" t="s">
        <v>13</v>
      </c>
      <c r="D200" s="3">
        <v>0.32430555555555557</v>
      </c>
      <c r="E200" s="2" t="s">
        <v>75</v>
      </c>
      <c r="F200" s="2" t="s">
        <v>44</v>
      </c>
      <c r="G200" s="2" t="s">
        <v>71</v>
      </c>
      <c r="H200">
        <v>10</v>
      </c>
      <c r="I200">
        <v>20</v>
      </c>
      <c r="J200" s="2" t="s">
        <v>1</v>
      </c>
      <c r="K200">
        <v>0</v>
      </c>
      <c r="L200" t="str">
        <f>_xlfn.XLOOKUP(G200, CodeDescriptions!B:B, CodeDescriptions!C:C, "Unknown")</f>
        <v>NO EQUIPMENT AVAILABLE</v>
      </c>
    </row>
    <row r="201" spans="1:12" x14ac:dyDescent="0.2">
      <c r="A201">
        <v>200</v>
      </c>
      <c r="B201" s="1">
        <v>46010</v>
      </c>
      <c r="C201" s="2" t="s">
        <v>13</v>
      </c>
      <c r="D201" s="3">
        <v>0.40138888888888891</v>
      </c>
      <c r="E201" s="2" t="s">
        <v>75</v>
      </c>
      <c r="F201" s="2" t="s">
        <v>34</v>
      </c>
      <c r="G201" s="2" t="s">
        <v>45</v>
      </c>
      <c r="H201">
        <v>0</v>
      </c>
      <c r="I201">
        <v>0</v>
      </c>
      <c r="J201" s="2" t="s">
        <v>0</v>
      </c>
      <c r="K201">
        <v>6508</v>
      </c>
      <c r="L201" t="str">
        <f>_xlfn.XLOOKUP(G201, CodeDescriptions!B:B, CodeDescriptions!C:C, "Unknown")</f>
        <v>OPERATOR OVERSPEED</v>
      </c>
    </row>
    <row r="202" spans="1:12" x14ac:dyDescent="0.2">
      <c r="A202">
        <v>201</v>
      </c>
      <c r="B202" s="1">
        <v>46010</v>
      </c>
      <c r="C202" s="2" t="s">
        <v>13</v>
      </c>
      <c r="D202" s="3">
        <v>0.40277777777777779</v>
      </c>
      <c r="E202" s="2" t="s">
        <v>75</v>
      </c>
      <c r="F202" s="2" t="s">
        <v>34</v>
      </c>
      <c r="G202" s="2" t="s">
        <v>45</v>
      </c>
      <c r="H202">
        <v>0</v>
      </c>
      <c r="I202">
        <v>0</v>
      </c>
      <c r="J202" s="2" t="s">
        <v>1</v>
      </c>
      <c r="K202">
        <v>6509</v>
      </c>
      <c r="L202" t="str">
        <f>_xlfn.XLOOKUP(G202, CodeDescriptions!B:B, CodeDescriptions!C:C, "Unknown")</f>
        <v>OPERATOR OVERSPEED</v>
      </c>
    </row>
    <row r="203" spans="1:12" x14ac:dyDescent="0.2">
      <c r="A203">
        <v>202</v>
      </c>
      <c r="B203" s="1">
        <v>46010</v>
      </c>
      <c r="C203" s="2" t="s">
        <v>13</v>
      </c>
      <c r="D203" s="3">
        <v>0.40694444444444444</v>
      </c>
      <c r="E203" s="2" t="s">
        <v>75</v>
      </c>
      <c r="F203" s="2" t="s">
        <v>50</v>
      </c>
      <c r="G203" s="2" t="s">
        <v>72</v>
      </c>
      <c r="H203">
        <v>14</v>
      </c>
      <c r="I203">
        <v>24</v>
      </c>
      <c r="J203" s="2" t="s">
        <v>17</v>
      </c>
      <c r="K203">
        <v>6508</v>
      </c>
      <c r="L203" t="str">
        <f>_xlfn.XLOOKUP(G203, CodeDescriptions!B:B, CodeDescriptions!C:C, "Unknown")</f>
        <v>INJURED TTC EMPLOYEE</v>
      </c>
    </row>
    <row r="204" spans="1:12" x14ac:dyDescent="0.2">
      <c r="A204">
        <v>203</v>
      </c>
      <c r="B204" s="1">
        <v>46010</v>
      </c>
      <c r="C204" s="2" t="s">
        <v>13</v>
      </c>
      <c r="D204" s="3">
        <v>0.43194444444444446</v>
      </c>
      <c r="E204" s="2" t="s">
        <v>75</v>
      </c>
      <c r="F204" s="2" t="s">
        <v>30</v>
      </c>
      <c r="G204" s="2" t="s">
        <v>46</v>
      </c>
      <c r="H204">
        <v>4</v>
      </c>
      <c r="I204">
        <v>10</v>
      </c>
      <c r="J204" s="2" t="s">
        <v>17</v>
      </c>
      <c r="K204">
        <v>6511</v>
      </c>
      <c r="L204" t="str">
        <f>_xlfn.XLOOKUP(G204, CodeDescriptions!B:B, CodeDescriptions!C:C, "Unknown")</f>
        <v>HVAC</v>
      </c>
    </row>
    <row r="205" spans="1:12" x14ac:dyDescent="0.2">
      <c r="A205">
        <v>204</v>
      </c>
      <c r="B205" s="1">
        <v>46010</v>
      </c>
      <c r="C205" s="2" t="s">
        <v>13</v>
      </c>
      <c r="D205" s="3">
        <v>0.43819444444444444</v>
      </c>
      <c r="E205" s="2" t="s">
        <v>75</v>
      </c>
      <c r="F205" s="2" t="s">
        <v>15</v>
      </c>
      <c r="G205" s="2" t="s">
        <v>108</v>
      </c>
      <c r="H205">
        <v>5</v>
      </c>
      <c r="I205">
        <v>12</v>
      </c>
      <c r="J205" s="2" t="s">
        <v>1</v>
      </c>
      <c r="K205">
        <v>6506</v>
      </c>
      <c r="L205" t="str">
        <f>_xlfn.XLOOKUP(G205, CodeDescriptions!B:B, CodeDescriptions!C:C, "Unknown")</f>
        <v>UNAUTHORIZED IN THE EXCLUSIVE GUIDEWAY</v>
      </c>
    </row>
    <row r="206" spans="1:12" x14ac:dyDescent="0.2">
      <c r="A206">
        <v>205</v>
      </c>
      <c r="B206" s="1">
        <v>46010</v>
      </c>
      <c r="C206" s="2" t="s">
        <v>13</v>
      </c>
      <c r="D206" s="3">
        <v>0.50277777777777777</v>
      </c>
      <c r="E206" s="2" t="s">
        <v>75</v>
      </c>
      <c r="F206" s="2" t="s">
        <v>21</v>
      </c>
      <c r="G206" s="2" t="s">
        <v>26</v>
      </c>
      <c r="H206">
        <v>0</v>
      </c>
      <c r="I206">
        <v>0</v>
      </c>
      <c r="J206" s="2" t="s">
        <v>1</v>
      </c>
      <c r="K206">
        <v>6513</v>
      </c>
      <c r="L206" t="str">
        <f>_xlfn.XLOOKUP(G206, CodeDescriptions!B:B, CodeDescriptions!C:C, "Unknown")</f>
        <v>EQUIPMENT - OTHER</v>
      </c>
    </row>
    <row r="207" spans="1:12" x14ac:dyDescent="0.2">
      <c r="A207">
        <v>206</v>
      </c>
      <c r="B207" s="1">
        <v>46010</v>
      </c>
      <c r="C207" s="2" t="s">
        <v>13</v>
      </c>
      <c r="D207" s="3">
        <v>0.64930555555555558</v>
      </c>
      <c r="E207" s="2" t="s">
        <v>75</v>
      </c>
      <c r="F207" s="2" t="s">
        <v>50</v>
      </c>
      <c r="G207" s="2" t="s">
        <v>109</v>
      </c>
      <c r="H207">
        <v>154</v>
      </c>
      <c r="I207">
        <v>160</v>
      </c>
      <c r="J207" s="2" t="s">
        <v>1</v>
      </c>
      <c r="K207">
        <v>6506</v>
      </c>
      <c r="L207" t="str">
        <f>_xlfn.XLOOKUP(G207, CodeDescriptions!B:B, CodeDescriptions!C:C, "Unknown")</f>
        <v>INJURED/ILL CUSTOMER ON TRAIN – MEDICAL AID REFUSED</v>
      </c>
    </row>
    <row r="208" spans="1:12" x14ac:dyDescent="0.2">
      <c r="A208">
        <v>207</v>
      </c>
      <c r="B208" s="1">
        <v>46010</v>
      </c>
      <c r="C208" s="2" t="s">
        <v>13</v>
      </c>
      <c r="D208" s="3">
        <v>0.74097222222222225</v>
      </c>
      <c r="E208" s="2" t="s">
        <v>75</v>
      </c>
      <c r="F208" s="2" t="s">
        <v>44</v>
      </c>
      <c r="G208" s="2" t="s">
        <v>71</v>
      </c>
      <c r="H208">
        <v>6</v>
      </c>
      <c r="I208">
        <v>12</v>
      </c>
      <c r="J208" s="2" t="s">
        <v>1</v>
      </c>
      <c r="K208">
        <v>0</v>
      </c>
      <c r="L208" t="str">
        <f>_xlfn.XLOOKUP(G208, CodeDescriptions!B:B, CodeDescriptions!C:C, "Unknown")</f>
        <v>NO EQUIPMENT AVAILABLE</v>
      </c>
    </row>
    <row r="209" spans="1:12" x14ac:dyDescent="0.2">
      <c r="A209">
        <v>208</v>
      </c>
      <c r="B209" s="1">
        <v>46011</v>
      </c>
      <c r="C209" s="2" t="s">
        <v>13</v>
      </c>
      <c r="D209" s="3">
        <v>0.38750000000000001</v>
      </c>
      <c r="E209" s="2" t="s">
        <v>81</v>
      </c>
      <c r="F209" s="2" t="s">
        <v>34</v>
      </c>
      <c r="G209" s="2" t="s">
        <v>84</v>
      </c>
      <c r="H209">
        <v>0</v>
      </c>
      <c r="I209">
        <v>0</v>
      </c>
      <c r="J209" s="2" t="s">
        <v>24</v>
      </c>
      <c r="K209">
        <v>6513</v>
      </c>
      <c r="L209" t="str">
        <f>_xlfn.XLOOKUP(G209, CodeDescriptions!B:B, CodeDescriptions!C:C, "Unknown")</f>
        <v>DISORDERLY PATRON</v>
      </c>
    </row>
    <row r="210" spans="1:12" x14ac:dyDescent="0.2">
      <c r="A210">
        <v>209</v>
      </c>
      <c r="B210" s="1">
        <v>46011</v>
      </c>
      <c r="C210" s="2" t="s">
        <v>13</v>
      </c>
      <c r="D210" s="3">
        <v>0.44513888888888886</v>
      </c>
      <c r="E210" s="2" t="s">
        <v>81</v>
      </c>
      <c r="F210" s="2" t="s">
        <v>110</v>
      </c>
      <c r="G210" s="2" t="s">
        <v>38</v>
      </c>
      <c r="H210">
        <v>7</v>
      </c>
      <c r="I210">
        <v>10</v>
      </c>
      <c r="J210" s="2" t="s">
        <v>1</v>
      </c>
      <c r="K210">
        <v>6513</v>
      </c>
      <c r="L210" t="str">
        <f>_xlfn.XLOOKUP(G210, CodeDescriptions!B:B, CodeDescriptions!C:C, "Unknown")</f>
        <v>UNABLE TO MAINT SCHED DUE TO TRAFFIC/PASSENGER CONGESTION</v>
      </c>
    </row>
    <row r="211" spans="1:12" x14ac:dyDescent="0.2">
      <c r="A211">
        <v>210</v>
      </c>
      <c r="B211" s="1">
        <v>46011</v>
      </c>
      <c r="C211" s="2" t="s">
        <v>13</v>
      </c>
      <c r="D211" s="3">
        <v>0.45347222222222222</v>
      </c>
      <c r="E211" s="2" t="s">
        <v>81</v>
      </c>
      <c r="F211" s="2" t="s">
        <v>21</v>
      </c>
      <c r="G211" s="2" t="s">
        <v>108</v>
      </c>
      <c r="H211">
        <v>0</v>
      </c>
      <c r="I211">
        <v>0</v>
      </c>
      <c r="J211" s="2" t="s">
        <v>24</v>
      </c>
      <c r="K211">
        <v>0</v>
      </c>
      <c r="L211" t="str">
        <f>_xlfn.XLOOKUP(G211, CodeDescriptions!B:B, CodeDescriptions!C:C, "Unknown")</f>
        <v>UNAUTHORIZED IN THE EXCLUSIVE GUIDEWAY</v>
      </c>
    </row>
    <row r="212" spans="1:12" x14ac:dyDescent="0.2">
      <c r="A212">
        <v>211</v>
      </c>
      <c r="B212" s="1">
        <v>46011</v>
      </c>
      <c r="C212" s="2" t="s">
        <v>13</v>
      </c>
      <c r="D212" s="3">
        <v>0.47986111111111113</v>
      </c>
      <c r="E212" s="2" t="s">
        <v>81</v>
      </c>
      <c r="F212" s="2" t="s">
        <v>15</v>
      </c>
      <c r="G212" s="2" t="s">
        <v>32</v>
      </c>
      <c r="H212">
        <v>10</v>
      </c>
      <c r="I212">
        <v>20</v>
      </c>
      <c r="J212" s="2" t="s">
        <v>17</v>
      </c>
      <c r="K212">
        <v>6502</v>
      </c>
      <c r="L212" t="str">
        <f>_xlfn.XLOOKUP(G212, CodeDescriptions!B:B, CodeDescriptions!C:C, "Unknown")</f>
        <v>MISCELLANEOUS OTHER</v>
      </c>
    </row>
    <row r="213" spans="1:12" x14ac:dyDescent="0.2">
      <c r="A213">
        <v>212</v>
      </c>
      <c r="B213" s="1">
        <v>46011</v>
      </c>
      <c r="C213" s="2" t="s">
        <v>13</v>
      </c>
      <c r="D213" s="3">
        <v>0.48888888888888887</v>
      </c>
      <c r="E213" s="2" t="s">
        <v>81</v>
      </c>
      <c r="F213" s="2" t="s">
        <v>62</v>
      </c>
      <c r="G213" s="2" t="s">
        <v>45</v>
      </c>
      <c r="H213">
        <v>3</v>
      </c>
      <c r="I213">
        <v>13</v>
      </c>
      <c r="J213" s="2" t="s">
        <v>17</v>
      </c>
      <c r="K213">
        <v>6514</v>
      </c>
      <c r="L213" t="str">
        <f>_xlfn.XLOOKUP(G213, CodeDescriptions!B:B, CodeDescriptions!C:C, "Unknown")</f>
        <v>OPERATOR OVERSPEED</v>
      </c>
    </row>
    <row r="214" spans="1:12" x14ac:dyDescent="0.2">
      <c r="A214">
        <v>213</v>
      </c>
      <c r="B214" s="1">
        <v>46011</v>
      </c>
      <c r="C214" s="2" t="s">
        <v>13</v>
      </c>
      <c r="D214" s="3">
        <v>0.54374999999999996</v>
      </c>
      <c r="E214" s="2" t="s">
        <v>81</v>
      </c>
      <c r="F214" s="2" t="s">
        <v>15</v>
      </c>
      <c r="G214" s="2" t="s">
        <v>46</v>
      </c>
      <c r="H214">
        <v>10</v>
      </c>
      <c r="I214">
        <v>20</v>
      </c>
      <c r="J214" s="2" t="s">
        <v>24</v>
      </c>
      <c r="K214">
        <v>6505</v>
      </c>
      <c r="L214" t="str">
        <f>_xlfn.XLOOKUP(G214, CodeDescriptions!B:B, CodeDescriptions!C:C, "Unknown")</f>
        <v>HVAC</v>
      </c>
    </row>
    <row r="215" spans="1:12" x14ac:dyDescent="0.2">
      <c r="A215">
        <v>214</v>
      </c>
      <c r="B215" s="1">
        <v>46011</v>
      </c>
      <c r="C215" s="2" t="s">
        <v>13</v>
      </c>
      <c r="D215" s="3">
        <v>0.55902777777777779</v>
      </c>
      <c r="E215" s="2" t="s">
        <v>81</v>
      </c>
      <c r="F215" s="2" t="s">
        <v>15</v>
      </c>
      <c r="G215" s="2" t="s">
        <v>29</v>
      </c>
      <c r="H215">
        <v>10</v>
      </c>
      <c r="I215">
        <v>20</v>
      </c>
      <c r="J215" s="2" t="s">
        <v>17</v>
      </c>
      <c r="K215">
        <v>6500</v>
      </c>
      <c r="L215" t="str">
        <f>_xlfn.XLOOKUP(G215, CodeDescriptions!B:B, CodeDescriptions!C:C, "Unknown")</f>
        <v>TRANSPORTATION OTHER</v>
      </c>
    </row>
    <row r="216" spans="1:12" x14ac:dyDescent="0.2">
      <c r="A216">
        <v>215</v>
      </c>
      <c r="B216" s="1">
        <v>46011</v>
      </c>
      <c r="C216" s="2" t="s">
        <v>13</v>
      </c>
      <c r="D216" s="3">
        <v>0.61597222222222225</v>
      </c>
      <c r="E216" s="2" t="s">
        <v>81</v>
      </c>
      <c r="F216" s="2" t="s">
        <v>44</v>
      </c>
      <c r="G216" s="2" t="s">
        <v>91</v>
      </c>
      <c r="H216">
        <v>0</v>
      </c>
      <c r="I216">
        <v>0</v>
      </c>
      <c r="J216" s="2" t="s">
        <v>17</v>
      </c>
      <c r="K216">
        <v>6511</v>
      </c>
      <c r="L216" t="str">
        <f>_xlfn.XLOOKUP(G216, CodeDescriptions!B:B, CodeDescriptions!C:C, "Unknown")</f>
        <v>EA – NO TROUBLE FOUND</v>
      </c>
    </row>
    <row r="217" spans="1:12" x14ac:dyDescent="0.2">
      <c r="A217">
        <v>216</v>
      </c>
      <c r="B217" s="1">
        <v>46011</v>
      </c>
      <c r="C217" s="2" t="s">
        <v>13</v>
      </c>
      <c r="D217" s="3">
        <v>0.6166666666666667</v>
      </c>
      <c r="E217" s="2" t="s">
        <v>81</v>
      </c>
      <c r="F217" s="2" t="s">
        <v>62</v>
      </c>
      <c r="G217" s="2" t="s">
        <v>45</v>
      </c>
      <c r="H217">
        <v>3</v>
      </c>
      <c r="I217">
        <v>13</v>
      </c>
      <c r="J217" s="2" t="s">
        <v>17</v>
      </c>
      <c r="K217">
        <v>6516</v>
      </c>
      <c r="L217" t="str">
        <f>_xlfn.XLOOKUP(G217, CodeDescriptions!B:B, CodeDescriptions!C:C, "Unknown")</f>
        <v>OPERATOR OVERSPEED</v>
      </c>
    </row>
    <row r="218" spans="1:12" x14ac:dyDescent="0.2">
      <c r="A218">
        <v>217</v>
      </c>
      <c r="B218" s="1">
        <v>46011</v>
      </c>
      <c r="C218" s="2" t="s">
        <v>13</v>
      </c>
      <c r="D218" s="3">
        <v>0.61944444444444446</v>
      </c>
      <c r="E218" s="2" t="s">
        <v>81</v>
      </c>
      <c r="F218" s="2" t="s">
        <v>15</v>
      </c>
      <c r="G218" s="2" t="s">
        <v>72</v>
      </c>
      <c r="H218">
        <v>14</v>
      </c>
      <c r="I218">
        <v>28</v>
      </c>
      <c r="J218" s="2" t="s">
        <v>17</v>
      </c>
      <c r="K218">
        <v>6505</v>
      </c>
      <c r="L218" t="str">
        <f>_xlfn.XLOOKUP(G218, CodeDescriptions!B:B, CodeDescriptions!C:C, "Unknown")</f>
        <v>INJURED TTC EMPLOYEE</v>
      </c>
    </row>
    <row r="219" spans="1:12" x14ac:dyDescent="0.2">
      <c r="A219">
        <v>218</v>
      </c>
      <c r="B219" s="1">
        <v>46011</v>
      </c>
      <c r="C219" s="2" t="s">
        <v>13</v>
      </c>
      <c r="D219" s="3">
        <v>0.62638888888888888</v>
      </c>
      <c r="E219" s="2" t="s">
        <v>81</v>
      </c>
      <c r="F219" s="2" t="s">
        <v>15</v>
      </c>
      <c r="G219" s="2" t="s">
        <v>26</v>
      </c>
      <c r="H219">
        <v>10</v>
      </c>
      <c r="I219">
        <v>20</v>
      </c>
      <c r="J219" s="2" t="s">
        <v>17</v>
      </c>
      <c r="K219">
        <v>6514</v>
      </c>
      <c r="L219" t="str">
        <f>_xlfn.XLOOKUP(G219, CodeDescriptions!B:B, CodeDescriptions!C:C, "Unknown")</f>
        <v>EQUIPMENT - OTHER</v>
      </c>
    </row>
    <row r="220" spans="1:12" x14ac:dyDescent="0.2">
      <c r="A220">
        <v>219</v>
      </c>
      <c r="B220" s="1">
        <v>46011</v>
      </c>
      <c r="C220" s="2" t="s">
        <v>13</v>
      </c>
      <c r="D220" s="3">
        <v>0.72638888888888886</v>
      </c>
      <c r="E220" s="2" t="s">
        <v>81</v>
      </c>
      <c r="F220" s="2" t="s">
        <v>33</v>
      </c>
      <c r="G220" s="2" t="s">
        <v>46</v>
      </c>
      <c r="H220">
        <v>10</v>
      </c>
      <c r="I220">
        <v>20</v>
      </c>
      <c r="J220" s="2" t="s">
        <v>17</v>
      </c>
      <c r="K220">
        <v>6514</v>
      </c>
      <c r="L220" t="str">
        <f>_xlfn.XLOOKUP(G220, CodeDescriptions!B:B, CodeDescriptions!C:C, "Unknown")</f>
        <v>HVAC</v>
      </c>
    </row>
    <row r="221" spans="1:12" x14ac:dyDescent="0.2">
      <c r="A221">
        <v>220</v>
      </c>
      <c r="B221" s="1">
        <v>46011</v>
      </c>
      <c r="C221" s="2" t="s">
        <v>13</v>
      </c>
      <c r="D221" s="3">
        <v>0.92013888888888884</v>
      </c>
      <c r="E221" s="2" t="s">
        <v>81</v>
      </c>
      <c r="F221" s="2" t="s">
        <v>15</v>
      </c>
      <c r="G221" s="2" t="s">
        <v>55</v>
      </c>
      <c r="H221">
        <v>0</v>
      </c>
      <c r="I221">
        <v>0</v>
      </c>
      <c r="J221" s="2" t="s">
        <v>24</v>
      </c>
      <c r="K221">
        <v>0</v>
      </c>
      <c r="L221" t="str">
        <f>_xlfn.XLOOKUP(G221, CodeDescriptions!B:B, CodeDescriptions!C:C, "Unknown")</f>
        <v>SECURITY OTHER</v>
      </c>
    </row>
    <row r="222" spans="1:12" x14ac:dyDescent="0.2">
      <c r="A222">
        <v>221</v>
      </c>
      <c r="B222" s="1">
        <v>46012</v>
      </c>
      <c r="C222" s="2" t="s">
        <v>13</v>
      </c>
      <c r="D222" s="3">
        <v>0.35555555555555557</v>
      </c>
      <c r="E222" s="2" t="s">
        <v>14</v>
      </c>
      <c r="F222" s="2" t="s">
        <v>44</v>
      </c>
      <c r="G222" s="2" t="s">
        <v>85</v>
      </c>
      <c r="H222">
        <v>5</v>
      </c>
      <c r="I222">
        <v>15</v>
      </c>
      <c r="J222" s="2" t="s">
        <v>1</v>
      </c>
      <c r="K222">
        <v>6507</v>
      </c>
      <c r="L222" t="str">
        <f>_xlfn.XLOOKUP(G222, CodeDescriptions!B:B, CodeDescriptions!C:C, "Unknown")</f>
        <v>DATA COMMUNICATIONS SYSTEM FAILURE</v>
      </c>
    </row>
    <row r="223" spans="1:12" x14ac:dyDescent="0.2">
      <c r="A223">
        <v>222</v>
      </c>
      <c r="B223" s="1">
        <v>46012</v>
      </c>
      <c r="C223" s="2" t="s">
        <v>13</v>
      </c>
      <c r="D223" s="3">
        <v>0.50763888888888886</v>
      </c>
      <c r="E223" s="2" t="s">
        <v>14</v>
      </c>
      <c r="F223" s="2" t="s">
        <v>44</v>
      </c>
      <c r="G223" s="2" t="s">
        <v>19</v>
      </c>
      <c r="H223">
        <v>3</v>
      </c>
      <c r="I223">
        <v>13</v>
      </c>
      <c r="J223" s="2" t="s">
        <v>17</v>
      </c>
      <c r="K223">
        <v>6503</v>
      </c>
      <c r="L223" t="str">
        <f>_xlfn.XLOOKUP(G223, CodeDescriptions!B:B, CodeDescriptions!C:C, "Unknown")</f>
        <v>TRACTION MOTORS</v>
      </c>
    </row>
    <row r="224" spans="1:12" x14ac:dyDescent="0.2">
      <c r="A224">
        <v>223</v>
      </c>
      <c r="B224" s="1">
        <v>46012</v>
      </c>
      <c r="C224" s="2" t="s">
        <v>13</v>
      </c>
      <c r="D224" s="3">
        <v>0.52083333333333337</v>
      </c>
      <c r="E224" s="2" t="s">
        <v>14</v>
      </c>
      <c r="F224" s="2" t="s">
        <v>35</v>
      </c>
      <c r="G224" s="2" t="s">
        <v>19</v>
      </c>
      <c r="H224">
        <v>0</v>
      </c>
      <c r="I224">
        <v>0</v>
      </c>
      <c r="J224" s="2" t="s">
        <v>17</v>
      </c>
      <c r="K224">
        <v>6503</v>
      </c>
      <c r="L224" t="str">
        <f>_xlfn.XLOOKUP(G224, CodeDescriptions!B:B, CodeDescriptions!C:C, "Unknown")</f>
        <v>TRACTION MOTORS</v>
      </c>
    </row>
    <row r="225" spans="1:12" x14ac:dyDescent="0.2">
      <c r="A225">
        <v>224</v>
      </c>
      <c r="B225" s="1">
        <v>46012</v>
      </c>
      <c r="C225" s="2" t="s">
        <v>13</v>
      </c>
      <c r="D225" s="3">
        <v>0.74930555555555556</v>
      </c>
      <c r="E225" s="2" t="s">
        <v>14</v>
      </c>
      <c r="F225" s="2" t="s">
        <v>111</v>
      </c>
      <c r="G225" s="2" t="s">
        <v>38</v>
      </c>
      <c r="H225">
        <v>8</v>
      </c>
      <c r="I225">
        <v>18</v>
      </c>
      <c r="J225" s="2" t="s">
        <v>1</v>
      </c>
      <c r="K225">
        <v>6511</v>
      </c>
      <c r="L225" t="str">
        <f>_xlfn.XLOOKUP(G225, CodeDescriptions!B:B, CodeDescriptions!C:C, "Unknown")</f>
        <v>UNABLE TO MAINT SCHED DUE TO TRAFFIC/PASSENGER CONGESTION</v>
      </c>
    </row>
    <row r="226" spans="1:12" x14ac:dyDescent="0.2">
      <c r="A226">
        <v>225</v>
      </c>
      <c r="B226" s="1">
        <v>46012</v>
      </c>
      <c r="C226" s="2" t="s">
        <v>13</v>
      </c>
      <c r="D226" s="3">
        <v>0.8881944444444444</v>
      </c>
      <c r="E226" s="2" t="s">
        <v>14</v>
      </c>
      <c r="F226" s="2" t="s">
        <v>96</v>
      </c>
      <c r="G226" s="2" t="s">
        <v>112</v>
      </c>
      <c r="H226">
        <v>0</v>
      </c>
      <c r="I226">
        <v>0</v>
      </c>
      <c r="J226" s="2" t="s">
        <v>17</v>
      </c>
      <c r="K226">
        <v>6513</v>
      </c>
      <c r="L226" t="str">
        <f>_xlfn.XLOOKUP(G226, CodeDescriptions!B:B, CodeDescriptions!C:C, "Unknown")</f>
        <v>DOOR PROBLEMS – PASSENGER RELATED</v>
      </c>
    </row>
    <row r="227" spans="1:12" x14ac:dyDescent="0.2">
      <c r="A227">
        <v>226</v>
      </c>
      <c r="B227" s="1">
        <v>46012</v>
      </c>
      <c r="C227" s="2" t="s">
        <v>13</v>
      </c>
      <c r="D227" s="3">
        <v>0.90138888888888891</v>
      </c>
      <c r="E227" s="2" t="s">
        <v>14</v>
      </c>
      <c r="F227" s="2" t="s">
        <v>34</v>
      </c>
      <c r="G227" s="2" t="s">
        <v>112</v>
      </c>
      <c r="H227">
        <v>0</v>
      </c>
      <c r="I227">
        <v>0</v>
      </c>
      <c r="J227" s="2" t="s">
        <v>1</v>
      </c>
      <c r="K227">
        <v>6515</v>
      </c>
      <c r="L227" t="str">
        <f>_xlfn.XLOOKUP(G227, CodeDescriptions!B:B, CodeDescriptions!C:C, "Unknown")</f>
        <v>DOOR PROBLEMS – PASSENGER RELATED</v>
      </c>
    </row>
    <row r="228" spans="1:12" x14ac:dyDescent="0.2">
      <c r="A228">
        <v>227</v>
      </c>
      <c r="B228" s="1">
        <v>46012</v>
      </c>
      <c r="C228" s="2" t="s">
        <v>13</v>
      </c>
      <c r="D228" s="3">
        <v>0.90902777777777777</v>
      </c>
      <c r="E228" s="2" t="s">
        <v>14</v>
      </c>
      <c r="F228" s="2" t="s">
        <v>15</v>
      </c>
      <c r="G228" s="2" t="s">
        <v>74</v>
      </c>
      <c r="H228">
        <v>0</v>
      </c>
      <c r="I228">
        <v>0</v>
      </c>
      <c r="J228" s="2" t="s">
        <v>1</v>
      </c>
      <c r="K228">
        <v>6503</v>
      </c>
      <c r="L228" t="str">
        <f>_xlfn.XLOOKUP(G228, CodeDescriptions!B:B, CodeDescriptions!C:C, "Unknown")</f>
        <v>GIDS ACTIVATION</v>
      </c>
    </row>
    <row r="229" spans="1:12" x14ac:dyDescent="0.2">
      <c r="A229">
        <v>228</v>
      </c>
      <c r="B229" s="1">
        <v>46013</v>
      </c>
      <c r="C229" s="2" t="s">
        <v>13</v>
      </c>
      <c r="D229" s="3">
        <v>0.29583333333333334</v>
      </c>
      <c r="E229" s="2" t="s">
        <v>40</v>
      </c>
      <c r="F229" s="2" t="s">
        <v>21</v>
      </c>
      <c r="G229" s="2" t="s">
        <v>22</v>
      </c>
      <c r="H229">
        <v>6</v>
      </c>
      <c r="I229">
        <v>12</v>
      </c>
      <c r="J229" s="2" t="s">
        <v>1</v>
      </c>
      <c r="K229">
        <v>6515</v>
      </c>
      <c r="L229" t="str">
        <f>_xlfn.XLOOKUP(G229, CodeDescriptions!B:B, CodeDescriptions!C:C, "Unknown")</f>
        <v>BODY</v>
      </c>
    </row>
    <row r="230" spans="1:12" x14ac:dyDescent="0.2">
      <c r="A230">
        <v>229</v>
      </c>
      <c r="B230" s="1">
        <v>46013</v>
      </c>
      <c r="C230" s="2" t="s">
        <v>13</v>
      </c>
      <c r="D230" s="3">
        <v>0.3125</v>
      </c>
      <c r="E230" s="2" t="s">
        <v>40</v>
      </c>
      <c r="F230" s="2" t="s">
        <v>113</v>
      </c>
      <c r="G230" s="2" t="s">
        <v>46</v>
      </c>
      <c r="H230">
        <v>5</v>
      </c>
      <c r="I230">
        <v>11</v>
      </c>
      <c r="J230" s="2" t="s">
        <v>17</v>
      </c>
      <c r="K230">
        <v>6505</v>
      </c>
      <c r="L230" t="str">
        <f>_xlfn.XLOOKUP(G230, CodeDescriptions!B:B, CodeDescriptions!C:C, "Unknown")</f>
        <v>HVAC</v>
      </c>
    </row>
    <row r="231" spans="1:12" x14ac:dyDescent="0.2">
      <c r="A231">
        <v>230</v>
      </c>
      <c r="B231" s="1">
        <v>46013</v>
      </c>
      <c r="C231" s="2" t="s">
        <v>13</v>
      </c>
      <c r="D231" s="3">
        <v>0.44930555555555557</v>
      </c>
      <c r="E231" s="2" t="s">
        <v>40</v>
      </c>
      <c r="F231" s="2" t="s">
        <v>44</v>
      </c>
      <c r="G231" s="2" t="s">
        <v>19</v>
      </c>
      <c r="H231">
        <v>0</v>
      </c>
      <c r="I231">
        <v>0</v>
      </c>
      <c r="J231" s="2" t="s">
        <v>17</v>
      </c>
      <c r="K231">
        <v>6507</v>
      </c>
      <c r="L231" t="str">
        <f>_xlfn.XLOOKUP(G231, CodeDescriptions!B:B, CodeDescriptions!C:C, "Unknown")</f>
        <v>TRACTION MOTORS</v>
      </c>
    </row>
    <row r="232" spans="1:12" x14ac:dyDescent="0.2">
      <c r="A232">
        <v>231</v>
      </c>
      <c r="B232" s="1">
        <v>46013</v>
      </c>
      <c r="C232" s="2" t="s">
        <v>13</v>
      </c>
      <c r="D232" s="3">
        <v>0.50902777777777775</v>
      </c>
      <c r="E232" s="2" t="s">
        <v>40</v>
      </c>
      <c r="F232" s="2" t="s">
        <v>50</v>
      </c>
      <c r="G232" s="2" t="s">
        <v>98</v>
      </c>
      <c r="H232">
        <v>5</v>
      </c>
      <c r="I232">
        <v>14</v>
      </c>
      <c r="J232" s="2" t="s">
        <v>17</v>
      </c>
      <c r="K232">
        <v>6502</v>
      </c>
      <c r="L232" t="str">
        <f>_xlfn.XLOOKUP(G232, CodeDescriptions!B:B, CodeDescriptions!C:C, "Unknown")</f>
        <v>YARD-/CARHOUSE-RELATED PROBLEMS</v>
      </c>
    </row>
    <row r="233" spans="1:12" x14ac:dyDescent="0.2">
      <c r="A233">
        <v>232</v>
      </c>
      <c r="B233" s="1">
        <v>46013</v>
      </c>
      <c r="C233" s="2" t="s">
        <v>13</v>
      </c>
      <c r="D233" s="3">
        <v>0.53888888888888886</v>
      </c>
      <c r="E233" s="2" t="s">
        <v>40</v>
      </c>
      <c r="F233" s="2" t="s">
        <v>44</v>
      </c>
      <c r="G233" s="2" t="s">
        <v>38</v>
      </c>
      <c r="H233">
        <v>6</v>
      </c>
      <c r="I233">
        <v>15</v>
      </c>
      <c r="J233" s="2" t="s">
        <v>1</v>
      </c>
      <c r="K233">
        <v>6500</v>
      </c>
      <c r="L233" t="str">
        <f>_xlfn.XLOOKUP(G233, CodeDescriptions!B:B, CodeDescriptions!C:C, "Unknown")</f>
        <v>UNABLE TO MAINT SCHED DUE TO TRAFFIC/PASSENGER CONGESTION</v>
      </c>
    </row>
    <row r="234" spans="1:12" x14ac:dyDescent="0.2">
      <c r="A234">
        <v>233</v>
      </c>
      <c r="B234" s="1">
        <v>46013</v>
      </c>
      <c r="C234" s="2" t="s">
        <v>13</v>
      </c>
      <c r="D234" s="3">
        <v>0.58958333333333335</v>
      </c>
      <c r="E234" s="2" t="s">
        <v>40</v>
      </c>
      <c r="F234" s="2" t="s">
        <v>64</v>
      </c>
      <c r="G234" s="2" t="s">
        <v>83</v>
      </c>
      <c r="H234">
        <v>3</v>
      </c>
      <c r="I234">
        <v>12</v>
      </c>
      <c r="J234" s="2" t="s">
        <v>1</v>
      </c>
      <c r="K234">
        <v>6508</v>
      </c>
      <c r="L234" t="str">
        <f>_xlfn.XLOOKUP(G234, CodeDescriptions!B:B, CodeDescriptions!C:C, "Unknown")</f>
        <v>TRUCKS</v>
      </c>
    </row>
    <row r="235" spans="1:12" x14ac:dyDescent="0.2">
      <c r="A235">
        <v>234</v>
      </c>
      <c r="B235" s="1">
        <v>46013</v>
      </c>
      <c r="C235" s="2" t="s">
        <v>13</v>
      </c>
      <c r="D235" s="3">
        <v>0.59583333333333333</v>
      </c>
      <c r="E235" s="2" t="s">
        <v>40</v>
      </c>
      <c r="F235" s="2" t="s">
        <v>62</v>
      </c>
      <c r="G235" s="2" t="s">
        <v>45</v>
      </c>
      <c r="H235">
        <v>0</v>
      </c>
      <c r="I235">
        <v>0</v>
      </c>
      <c r="J235" s="2" t="s">
        <v>17</v>
      </c>
      <c r="K235">
        <v>6507</v>
      </c>
      <c r="L235" t="str">
        <f>_xlfn.XLOOKUP(G235, CodeDescriptions!B:B, CodeDescriptions!C:C, "Unknown")</f>
        <v>OPERATOR OVERSPEED</v>
      </c>
    </row>
    <row r="236" spans="1:12" x14ac:dyDescent="0.2">
      <c r="A236">
        <v>235</v>
      </c>
      <c r="B236" s="1">
        <v>46013</v>
      </c>
      <c r="C236" s="2" t="s">
        <v>13</v>
      </c>
      <c r="D236" s="3">
        <v>0.67361111111111116</v>
      </c>
      <c r="E236" s="2" t="s">
        <v>40</v>
      </c>
      <c r="F236" s="2" t="s">
        <v>21</v>
      </c>
      <c r="G236" s="2" t="s">
        <v>23</v>
      </c>
      <c r="H236">
        <v>7</v>
      </c>
      <c r="I236">
        <v>14</v>
      </c>
      <c r="J236" s="2" t="s">
        <v>1</v>
      </c>
      <c r="K236">
        <v>6513</v>
      </c>
      <c r="L236" t="str">
        <f>_xlfn.XLOOKUP(G236, CodeDescriptions!B:B, CodeDescriptions!C:C, "Unknown")</f>
        <v>MISCELLANEOUS TRANSPORTATION OTHER (EMPLOYEE NON-CHARGEABLE)</v>
      </c>
    </row>
    <row r="237" spans="1:12" x14ac:dyDescent="0.2">
      <c r="A237">
        <v>236</v>
      </c>
      <c r="B237" s="1">
        <v>46013</v>
      </c>
      <c r="C237" s="2" t="s">
        <v>13</v>
      </c>
      <c r="D237" s="3">
        <v>0.67500000000000004</v>
      </c>
      <c r="E237" s="2" t="s">
        <v>40</v>
      </c>
      <c r="F237" s="2" t="s">
        <v>21</v>
      </c>
      <c r="G237" s="2" t="s">
        <v>23</v>
      </c>
      <c r="H237">
        <v>0</v>
      </c>
      <c r="I237">
        <v>0</v>
      </c>
      <c r="J237" s="2" t="s">
        <v>1</v>
      </c>
      <c r="K237">
        <v>6502</v>
      </c>
      <c r="L237" t="str">
        <f>_xlfn.XLOOKUP(G237, CodeDescriptions!B:B, CodeDescriptions!C:C, "Unknown")</f>
        <v>MISCELLANEOUS TRANSPORTATION OTHER (EMPLOYEE NON-CHARGEABLE)</v>
      </c>
    </row>
    <row r="238" spans="1:12" x14ac:dyDescent="0.2">
      <c r="A238">
        <v>237</v>
      </c>
      <c r="B238" s="1">
        <v>46013</v>
      </c>
      <c r="C238" s="2" t="s">
        <v>13</v>
      </c>
      <c r="D238" s="3">
        <v>0.68333333333333335</v>
      </c>
      <c r="E238" s="2" t="s">
        <v>40</v>
      </c>
      <c r="F238" s="2" t="s">
        <v>114</v>
      </c>
      <c r="G238" s="2" t="s">
        <v>45</v>
      </c>
      <c r="H238">
        <v>0</v>
      </c>
      <c r="I238">
        <v>0</v>
      </c>
      <c r="J238" s="2" t="s">
        <v>1</v>
      </c>
      <c r="K238">
        <v>6502</v>
      </c>
      <c r="L238" t="str">
        <f>_xlfn.XLOOKUP(G238, CodeDescriptions!B:B, CodeDescriptions!C:C, "Unknown")</f>
        <v>OPERATOR OVERSPEED</v>
      </c>
    </row>
    <row r="239" spans="1:12" x14ac:dyDescent="0.2">
      <c r="A239">
        <v>238</v>
      </c>
      <c r="B239" s="1">
        <v>46013</v>
      </c>
      <c r="C239" s="2" t="s">
        <v>13</v>
      </c>
      <c r="D239" s="3">
        <v>0.69791666666666663</v>
      </c>
      <c r="E239" s="2" t="s">
        <v>40</v>
      </c>
      <c r="F239" s="2" t="s">
        <v>27</v>
      </c>
      <c r="G239" s="2" t="s">
        <v>45</v>
      </c>
      <c r="H239">
        <v>3</v>
      </c>
      <c r="I239">
        <v>10</v>
      </c>
      <c r="J239" s="2" t="s">
        <v>17</v>
      </c>
      <c r="K239">
        <v>6509</v>
      </c>
      <c r="L239" t="str">
        <f>_xlfn.XLOOKUP(G239, CodeDescriptions!B:B, CodeDescriptions!C:C, "Unknown")</f>
        <v>OPERATOR OVERSPEED</v>
      </c>
    </row>
    <row r="240" spans="1:12" x14ac:dyDescent="0.2">
      <c r="A240">
        <v>239</v>
      </c>
      <c r="B240" s="1">
        <v>46013</v>
      </c>
      <c r="C240" s="2" t="s">
        <v>13</v>
      </c>
      <c r="D240" s="3">
        <v>0.72291666666666665</v>
      </c>
      <c r="E240" s="2" t="s">
        <v>40</v>
      </c>
      <c r="F240" s="2" t="s">
        <v>35</v>
      </c>
      <c r="G240" s="2" t="s">
        <v>45</v>
      </c>
      <c r="H240">
        <v>0</v>
      </c>
      <c r="I240">
        <v>0</v>
      </c>
      <c r="J240" s="2" t="s">
        <v>1</v>
      </c>
      <c r="K240">
        <v>6515</v>
      </c>
      <c r="L240" t="str">
        <f>_xlfn.XLOOKUP(G240, CodeDescriptions!B:B, CodeDescriptions!C:C, "Unknown")</f>
        <v>OPERATOR OVERSPEED</v>
      </c>
    </row>
    <row r="241" spans="1:12" x14ac:dyDescent="0.2">
      <c r="A241">
        <v>240</v>
      </c>
      <c r="B241" s="1">
        <v>46013</v>
      </c>
      <c r="C241" s="2" t="s">
        <v>13</v>
      </c>
      <c r="D241" s="3">
        <v>0.8208333333333333</v>
      </c>
      <c r="E241" s="2" t="s">
        <v>40</v>
      </c>
      <c r="F241" s="2" t="s">
        <v>30</v>
      </c>
      <c r="G241" s="2" t="s">
        <v>20</v>
      </c>
      <c r="H241">
        <v>35</v>
      </c>
      <c r="I241">
        <v>45</v>
      </c>
      <c r="J241" s="2" t="s">
        <v>1</v>
      </c>
      <c r="K241">
        <v>6511</v>
      </c>
      <c r="L241" t="str">
        <f>_xlfn.XLOOKUP(G241, CodeDescriptions!B:B, CodeDescriptions!C:C, "Unknown")</f>
        <v>BRAKES</v>
      </c>
    </row>
    <row r="242" spans="1:12" x14ac:dyDescent="0.2">
      <c r="A242">
        <v>241</v>
      </c>
      <c r="B242" s="1">
        <v>46013</v>
      </c>
      <c r="C242" s="2" t="s">
        <v>13</v>
      </c>
      <c r="D242" s="3">
        <v>0.96388888888888891</v>
      </c>
      <c r="E242" s="2" t="s">
        <v>40</v>
      </c>
      <c r="F242" s="2" t="s">
        <v>15</v>
      </c>
      <c r="G242" s="2" t="s">
        <v>115</v>
      </c>
      <c r="H242">
        <v>0</v>
      </c>
      <c r="I242">
        <v>0</v>
      </c>
      <c r="J242" s="2" t="s">
        <v>24</v>
      </c>
      <c r="K242">
        <v>0</v>
      </c>
      <c r="L242" t="str">
        <f>_xlfn.XLOOKUP(G242, CodeDescriptions!B:B, CodeDescriptions!C:C, "Unknown")</f>
        <v>STORM TRAINS</v>
      </c>
    </row>
    <row r="243" spans="1:12" x14ac:dyDescent="0.2">
      <c r="A243">
        <v>242</v>
      </c>
      <c r="B243" s="1">
        <v>46014</v>
      </c>
      <c r="C243" s="2" t="s">
        <v>13</v>
      </c>
      <c r="D243" s="3">
        <v>0.28194444444444444</v>
      </c>
      <c r="E243" s="2" t="s">
        <v>52</v>
      </c>
      <c r="F243" s="2" t="s">
        <v>116</v>
      </c>
      <c r="G243" s="2" t="s">
        <v>26</v>
      </c>
      <c r="H243">
        <v>7</v>
      </c>
      <c r="I243">
        <v>17</v>
      </c>
      <c r="J243" s="2" t="s">
        <v>17</v>
      </c>
      <c r="K243">
        <v>6515</v>
      </c>
      <c r="L243" t="str">
        <f>_xlfn.XLOOKUP(G243, CodeDescriptions!B:B, CodeDescriptions!C:C, "Unknown")</f>
        <v>EQUIPMENT - OTHER</v>
      </c>
    </row>
    <row r="244" spans="1:12" x14ac:dyDescent="0.2">
      <c r="A244">
        <v>243</v>
      </c>
      <c r="B244" s="1">
        <v>46014</v>
      </c>
      <c r="C244" s="2" t="s">
        <v>13</v>
      </c>
      <c r="D244" s="3">
        <v>0.35416666666666669</v>
      </c>
      <c r="E244" s="2" t="s">
        <v>52</v>
      </c>
      <c r="F244" s="2" t="s">
        <v>15</v>
      </c>
      <c r="G244" s="2" t="s">
        <v>23</v>
      </c>
      <c r="H244">
        <v>7</v>
      </c>
      <c r="I244">
        <v>14</v>
      </c>
      <c r="J244" s="2" t="s">
        <v>17</v>
      </c>
      <c r="K244">
        <v>6515</v>
      </c>
      <c r="L244" t="str">
        <f>_xlfn.XLOOKUP(G244, CodeDescriptions!B:B, CodeDescriptions!C:C, "Unknown")</f>
        <v>MISCELLANEOUS TRANSPORTATION OTHER (EMPLOYEE NON-CHARGEABLE)</v>
      </c>
    </row>
    <row r="245" spans="1:12" x14ac:dyDescent="0.2">
      <c r="A245">
        <v>244</v>
      </c>
      <c r="B245" s="1">
        <v>46014</v>
      </c>
      <c r="C245" s="2" t="s">
        <v>13</v>
      </c>
      <c r="D245" s="3">
        <v>0.47430555555555554</v>
      </c>
      <c r="E245" s="2" t="s">
        <v>52</v>
      </c>
      <c r="F245" s="2" t="s">
        <v>21</v>
      </c>
      <c r="G245" s="2" t="s">
        <v>117</v>
      </c>
      <c r="H245">
        <v>3</v>
      </c>
      <c r="I245">
        <v>13</v>
      </c>
      <c r="J245" s="2" t="s">
        <v>24</v>
      </c>
      <c r="K245">
        <v>6500</v>
      </c>
      <c r="L245" t="str">
        <f>_xlfn.XLOOKUP(G245, CodeDescriptions!B:B, CodeDescriptions!C:C, "Unknown")</f>
        <v>SUPERVISORY ERROR</v>
      </c>
    </row>
    <row r="246" spans="1:12" x14ac:dyDescent="0.2">
      <c r="A246">
        <v>245</v>
      </c>
      <c r="B246" s="1">
        <v>46014</v>
      </c>
      <c r="C246" s="2" t="s">
        <v>13</v>
      </c>
      <c r="D246" s="3">
        <v>0.61736111111111114</v>
      </c>
      <c r="E246" s="2" t="s">
        <v>52</v>
      </c>
      <c r="F246" s="2" t="s">
        <v>21</v>
      </c>
      <c r="G246" s="2" t="s">
        <v>26</v>
      </c>
      <c r="H246">
        <v>5</v>
      </c>
      <c r="I246">
        <v>15</v>
      </c>
      <c r="J246" s="2" t="s">
        <v>17</v>
      </c>
      <c r="K246">
        <v>6500</v>
      </c>
      <c r="L246" t="str">
        <f>_xlfn.XLOOKUP(G246, CodeDescriptions!B:B, CodeDescriptions!C:C, "Unknown")</f>
        <v>EQUIPMENT - OTHER</v>
      </c>
    </row>
    <row r="247" spans="1:12" x14ac:dyDescent="0.2">
      <c r="A247">
        <v>246</v>
      </c>
      <c r="B247" s="1">
        <v>46014</v>
      </c>
      <c r="C247" s="2" t="s">
        <v>13</v>
      </c>
      <c r="D247" s="3">
        <v>0.67152777777777772</v>
      </c>
      <c r="E247" s="2" t="s">
        <v>52</v>
      </c>
      <c r="F247" s="2" t="s">
        <v>15</v>
      </c>
      <c r="G247" s="2" t="s">
        <v>23</v>
      </c>
      <c r="H247">
        <v>9</v>
      </c>
      <c r="I247">
        <v>15</v>
      </c>
      <c r="J247" s="2" t="s">
        <v>1</v>
      </c>
      <c r="K247">
        <v>6513</v>
      </c>
      <c r="L247" t="str">
        <f>_xlfn.XLOOKUP(G247, CodeDescriptions!B:B, CodeDescriptions!C:C, "Unknown")</f>
        <v>MISCELLANEOUS TRANSPORTATION OTHER (EMPLOYEE NON-CHARGEABLE)</v>
      </c>
    </row>
    <row r="248" spans="1:12" x14ac:dyDescent="0.2">
      <c r="A248">
        <v>247</v>
      </c>
      <c r="B248" s="1">
        <v>46014</v>
      </c>
      <c r="C248" s="2" t="s">
        <v>13</v>
      </c>
      <c r="D248" s="3">
        <v>0.74583333333333335</v>
      </c>
      <c r="E248" s="2" t="s">
        <v>52</v>
      </c>
      <c r="F248" s="2" t="s">
        <v>118</v>
      </c>
      <c r="G248" s="2" t="s">
        <v>20</v>
      </c>
      <c r="H248">
        <v>16</v>
      </c>
      <c r="I248">
        <v>10</v>
      </c>
      <c r="J248" s="2" t="s">
        <v>1</v>
      </c>
      <c r="K248">
        <v>6506</v>
      </c>
      <c r="L248" t="str">
        <f>_xlfn.XLOOKUP(G248, CodeDescriptions!B:B, CodeDescriptions!C:C, "Unknown")</f>
        <v>BRAKES</v>
      </c>
    </row>
    <row r="249" spans="1:12" x14ac:dyDescent="0.2">
      <c r="A249">
        <v>248</v>
      </c>
      <c r="B249" s="1">
        <v>46014</v>
      </c>
      <c r="C249" s="2" t="s">
        <v>13</v>
      </c>
      <c r="D249" s="3">
        <v>0.78125</v>
      </c>
      <c r="E249" s="2" t="s">
        <v>52</v>
      </c>
      <c r="F249" s="2" t="s">
        <v>15</v>
      </c>
      <c r="G249" s="2" t="s">
        <v>29</v>
      </c>
      <c r="H249">
        <v>3</v>
      </c>
      <c r="I249">
        <v>13</v>
      </c>
      <c r="J249" s="2" t="s">
        <v>17</v>
      </c>
      <c r="K249">
        <v>6502</v>
      </c>
      <c r="L249" t="str">
        <f>_xlfn.XLOOKUP(G249, CodeDescriptions!B:B, CodeDescriptions!C:C, "Unknown")</f>
        <v>TRANSPORTATION OTHER</v>
      </c>
    </row>
    <row r="250" spans="1:12" x14ac:dyDescent="0.2">
      <c r="A250">
        <v>249</v>
      </c>
      <c r="B250" s="1">
        <v>46014</v>
      </c>
      <c r="C250" s="2" t="s">
        <v>13</v>
      </c>
      <c r="D250" s="3">
        <v>0.80694444444444446</v>
      </c>
      <c r="E250" s="2" t="s">
        <v>52</v>
      </c>
      <c r="F250" s="2" t="s">
        <v>119</v>
      </c>
      <c r="G250" s="2" t="s">
        <v>26</v>
      </c>
      <c r="H250">
        <v>0</v>
      </c>
      <c r="I250">
        <v>0</v>
      </c>
      <c r="J250" s="2" t="s">
        <v>1</v>
      </c>
      <c r="K250">
        <v>6504</v>
      </c>
      <c r="L250" t="str">
        <f>_xlfn.XLOOKUP(G250, CodeDescriptions!B:B, CodeDescriptions!C:C, "Unknown")</f>
        <v>EQUIPMENT - OTHER</v>
      </c>
    </row>
    <row r="251" spans="1:12" x14ac:dyDescent="0.2">
      <c r="A251">
        <v>250</v>
      </c>
      <c r="B251" s="1">
        <v>46014</v>
      </c>
      <c r="C251" s="2" t="s">
        <v>13</v>
      </c>
      <c r="D251" s="3">
        <v>0.87222222222222223</v>
      </c>
      <c r="E251" s="2" t="s">
        <v>52</v>
      </c>
      <c r="F251" s="2" t="s">
        <v>15</v>
      </c>
      <c r="G251" s="2" t="s">
        <v>23</v>
      </c>
      <c r="H251">
        <v>8</v>
      </c>
      <c r="I251">
        <v>20</v>
      </c>
      <c r="J251" s="2" t="s">
        <v>1</v>
      </c>
      <c r="K251">
        <v>6500</v>
      </c>
      <c r="L251" t="str">
        <f>_xlfn.XLOOKUP(G251, CodeDescriptions!B:B, CodeDescriptions!C:C, "Unknown")</f>
        <v>MISCELLANEOUS TRANSPORTATION OTHER (EMPLOYEE NON-CHARGEABLE)</v>
      </c>
    </row>
    <row r="252" spans="1:12" x14ac:dyDescent="0.2">
      <c r="A252">
        <v>251</v>
      </c>
      <c r="B252" s="1">
        <v>46014</v>
      </c>
      <c r="C252" s="2" t="s">
        <v>13</v>
      </c>
      <c r="D252" s="3">
        <v>0.90833333333333333</v>
      </c>
      <c r="E252" s="2" t="s">
        <v>52</v>
      </c>
      <c r="F252" s="2" t="s">
        <v>30</v>
      </c>
      <c r="G252" s="2" t="s">
        <v>45</v>
      </c>
      <c r="H252">
        <v>0</v>
      </c>
      <c r="I252">
        <v>0</v>
      </c>
      <c r="J252" s="2" t="s">
        <v>1</v>
      </c>
      <c r="K252">
        <v>6508</v>
      </c>
      <c r="L252" t="str">
        <f>_xlfn.XLOOKUP(G252, CodeDescriptions!B:B, CodeDescriptions!C:C, "Unknown")</f>
        <v>OPERATOR OVERSPEED</v>
      </c>
    </row>
    <row r="253" spans="1:12" x14ac:dyDescent="0.2">
      <c r="A253">
        <v>252</v>
      </c>
      <c r="B253" s="1">
        <v>46015</v>
      </c>
      <c r="C253" s="2" t="s">
        <v>13</v>
      </c>
      <c r="D253" s="3">
        <v>0.33333333333333331</v>
      </c>
      <c r="E253" s="2" t="s">
        <v>59</v>
      </c>
      <c r="F253" s="2" t="s">
        <v>15</v>
      </c>
      <c r="G253" s="2" t="s">
        <v>74</v>
      </c>
      <c r="H253">
        <v>10</v>
      </c>
      <c r="I253">
        <v>17</v>
      </c>
      <c r="J253" s="2" t="s">
        <v>17</v>
      </c>
      <c r="K253">
        <v>6507</v>
      </c>
      <c r="L253" t="str">
        <f>_xlfn.XLOOKUP(G253, CodeDescriptions!B:B, CodeDescriptions!C:C, "Unknown")</f>
        <v>GIDS ACTIVATION</v>
      </c>
    </row>
    <row r="254" spans="1:12" x14ac:dyDescent="0.2">
      <c r="A254">
        <v>253</v>
      </c>
      <c r="B254" s="1">
        <v>46015</v>
      </c>
      <c r="C254" s="2" t="s">
        <v>13</v>
      </c>
      <c r="D254" s="3">
        <v>0.40277777777777779</v>
      </c>
      <c r="E254" s="2" t="s">
        <v>59</v>
      </c>
      <c r="F254" s="2" t="s">
        <v>37</v>
      </c>
      <c r="G254" s="2" t="s">
        <v>45</v>
      </c>
      <c r="H254">
        <v>3</v>
      </c>
      <c r="I254">
        <v>10</v>
      </c>
      <c r="J254" s="2" t="s">
        <v>1</v>
      </c>
      <c r="K254">
        <v>6506</v>
      </c>
      <c r="L254" t="str">
        <f>_xlfn.XLOOKUP(G254, CodeDescriptions!B:B, CodeDescriptions!C:C, "Unknown")</f>
        <v>OPERATOR OVERSPEED</v>
      </c>
    </row>
    <row r="255" spans="1:12" x14ac:dyDescent="0.2">
      <c r="A255">
        <v>254</v>
      </c>
      <c r="B255" s="1">
        <v>46015</v>
      </c>
      <c r="C255" s="2" t="s">
        <v>13</v>
      </c>
      <c r="D255" s="3">
        <v>0.44236111111111109</v>
      </c>
      <c r="E255" s="2" t="s">
        <v>59</v>
      </c>
      <c r="F255" s="2" t="s">
        <v>30</v>
      </c>
      <c r="G255" s="2" t="s">
        <v>45</v>
      </c>
      <c r="H255">
        <v>0</v>
      </c>
      <c r="I255">
        <v>0</v>
      </c>
      <c r="J255" s="2" t="s">
        <v>1</v>
      </c>
      <c r="K255">
        <v>6513</v>
      </c>
      <c r="L255" t="str">
        <f>_xlfn.XLOOKUP(G255, CodeDescriptions!B:B, CodeDescriptions!C:C, "Unknown")</f>
        <v>OPERATOR OVERSPEED</v>
      </c>
    </row>
    <row r="256" spans="1:12" x14ac:dyDescent="0.2">
      <c r="A256">
        <v>255</v>
      </c>
      <c r="B256" s="1">
        <v>46015</v>
      </c>
      <c r="C256" s="2" t="s">
        <v>13</v>
      </c>
      <c r="D256" s="3">
        <v>0.85277777777777775</v>
      </c>
      <c r="E256" s="2" t="s">
        <v>59</v>
      </c>
      <c r="F256" s="2" t="s">
        <v>44</v>
      </c>
      <c r="G256" s="2" t="s">
        <v>45</v>
      </c>
      <c r="H256">
        <v>0</v>
      </c>
      <c r="I256">
        <v>0</v>
      </c>
      <c r="J256" s="2" t="s">
        <v>17</v>
      </c>
      <c r="K256">
        <v>6503</v>
      </c>
      <c r="L256" t="str">
        <f>_xlfn.XLOOKUP(G256, CodeDescriptions!B:B, CodeDescriptions!C:C, "Unknown")</f>
        <v>OPERATOR OVERSPEED</v>
      </c>
    </row>
    <row r="257" spans="1:12" x14ac:dyDescent="0.2">
      <c r="A257">
        <v>256</v>
      </c>
      <c r="B257" s="1">
        <v>46015</v>
      </c>
      <c r="C257" s="2" t="s">
        <v>13</v>
      </c>
      <c r="D257" s="3">
        <v>0.88263888888888886</v>
      </c>
      <c r="E257" s="2" t="s">
        <v>59</v>
      </c>
      <c r="F257" s="2" t="s">
        <v>15</v>
      </c>
      <c r="G257" s="2" t="s">
        <v>108</v>
      </c>
      <c r="H257">
        <v>0</v>
      </c>
      <c r="I257">
        <v>0</v>
      </c>
      <c r="J257" s="2" t="s">
        <v>17</v>
      </c>
      <c r="K257">
        <v>6514</v>
      </c>
      <c r="L257" t="str">
        <f>_xlfn.XLOOKUP(G257, CodeDescriptions!B:B, CodeDescriptions!C:C, "Unknown")</f>
        <v>UNAUTHORIZED IN THE EXCLUSIVE GUIDEWAY</v>
      </c>
    </row>
    <row r="258" spans="1:12" x14ac:dyDescent="0.2">
      <c r="A258">
        <v>257</v>
      </c>
      <c r="B258" s="1">
        <v>46015</v>
      </c>
      <c r="C258" s="2" t="s">
        <v>13</v>
      </c>
      <c r="D258" s="3">
        <v>0.90972222222222221</v>
      </c>
      <c r="E258" s="2" t="s">
        <v>59</v>
      </c>
      <c r="F258" s="2" t="s">
        <v>34</v>
      </c>
      <c r="G258" s="2" t="s">
        <v>38</v>
      </c>
      <c r="H258">
        <v>15</v>
      </c>
      <c r="I258">
        <v>29</v>
      </c>
      <c r="J258" s="2" t="s">
        <v>1</v>
      </c>
      <c r="K258">
        <v>6504</v>
      </c>
      <c r="L258" t="str">
        <f>_xlfn.XLOOKUP(G258, CodeDescriptions!B:B, CodeDescriptions!C:C, "Unknown")</f>
        <v>UNABLE TO MAINT SCHED DUE TO TRAFFIC/PASSENGER CONGESTION</v>
      </c>
    </row>
    <row r="259" spans="1:12" x14ac:dyDescent="0.2">
      <c r="A259">
        <v>258</v>
      </c>
      <c r="B259" s="1">
        <v>46016</v>
      </c>
      <c r="C259" s="2" t="s">
        <v>13</v>
      </c>
      <c r="D259" s="3">
        <v>0.47569444444444442</v>
      </c>
      <c r="E259" s="2" t="s">
        <v>69</v>
      </c>
      <c r="F259" s="2" t="s">
        <v>15</v>
      </c>
      <c r="G259" s="2" t="s">
        <v>23</v>
      </c>
      <c r="H259">
        <v>5</v>
      </c>
      <c r="I259">
        <v>15</v>
      </c>
      <c r="J259" s="2" t="s">
        <v>17</v>
      </c>
      <c r="K259">
        <v>6512</v>
      </c>
      <c r="L259" t="str">
        <f>_xlfn.XLOOKUP(G259, CodeDescriptions!B:B, CodeDescriptions!C:C, "Unknown")</f>
        <v>MISCELLANEOUS TRANSPORTATION OTHER (EMPLOYEE NON-CHARGEABLE)</v>
      </c>
    </row>
    <row r="260" spans="1:12" x14ac:dyDescent="0.2">
      <c r="A260">
        <v>259</v>
      </c>
      <c r="B260" s="1">
        <v>46016</v>
      </c>
      <c r="C260" s="2" t="s">
        <v>13</v>
      </c>
      <c r="D260" s="3">
        <v>0.52152777777777781</v>
      </c>
      <c r="E260" s="2" t="s">
        <v>69</v>
      </c>
      <c r="F260" s="2" t="s">
        <v>34</v>
      </c>
      <c r="G260" s="2" t="s">
        <v>45</v>
      </c>
      <c r="H260">
        <v>0</v>
      </c>
      <c r="I260">
        <v>0</v>
      </c>
      <c r="J260" s="2" t="s">
        <v>1</v>
      </c>
      <c r="K260">
        <v>6501</v>
      </c>
      <c r="L260" t="str">
        <f>_xlfn.XLOOKUP(G260, CodeDescriptions!B:B, CodeDescriptions!C:C, "Unknown")</f>
        <v>OPERATOR OVERSPEED</v>
      </c>
    </row>
    <row r="261" spans="1:12" x14ac:dyDescent="0.2">
      <c r="A261">
        <v>260</v>
      </c>
      <c r="B261" s="1">
        <v>46016</v>
      </c>
      <c r="C261" s="2" t="s">
        <v>13</v>
      </c>
      <c r="D261" s="3">
        <v>0.58611111111111114</v>
      </c>
      <c r="E261" s="2" t="s">
        <v>69</v>
      </c>
      <c r="F261" s="2" t="s">
        <v>25</v>
      </c>
      <c r="G261" s="2" t="s">
        <v>79</v>
      </c>
      <c r="H261">
        <v>0</v>
      </c>
      <c r="I261">
        <v>0</v>
      </c>
      <c r="J261" s="2" t="s">
        <v>1</v>
      </c>
      <c r="K261">
        <v>6516</v>
      </c>
      <c r="L261" t="str">
        <f>_xlfn.XLOOKUP(G261, CodeDescriptions!B:B, CodeDescriptions!C:C, "Unknown")</f>
        <v>S&amp;TCS CARBORNE EQUIPMENT</v>
      </c>
    </row>
    <row r="262" spans="1:12" x14ac:dyDescent="0.2">
      <c r="A262">
        <v>261</v>
      </c>
      <c r="B262" s="1">
        <v>46016</v>
      </c>
      <c r="C262" s="2" t="s">
        <v>13</v>
      </c>
      <c r="D262" s="3">
        <v>0.81180555555555556</v>
      </c>
      <c r="E262" s="2" t="s">
        <v>69</v>
      </c>
      <c r="F262" s="2" t="s">
        <v>96</v>
      </c>
      <c r="G262" s="2" t="s">
        <v>22</v>
      </c>
      <c r="H262">
        <v>5</v>
      </c>
      <c r="I262">
        <v>15</v>
      </c>
      <c r="J262" s="2" t="s">
        <v>17</v>
      </c>
      <c r="K262">
        <v>6502</v>
      </c>
      <c r="L262" t="str">
        <f>_xlfn.XLOOKUP(G262, CodeDescriptions!B:B, CodeDescriptions!C:C, "Unknown")</f>
        <v>BODY</v>
      </c>
    </row>
    <row r="263" spans="1:12" x14ac:dyDescent="0.2">
      <c r="A263">
        <v>262</v>
      </c>
      <c r="B263" s="1">
        <v>46016</v>
      </c>
      <c r="C263" s="2" t="s">
        <v>13</v>
      </c>
      <c r="D263" s="3">
        <v>0.85416666666666663</v>
      </c>
      <c r="E263" s="2" t="s">
        <v>69</v>
      </c>
      <c r="F263" s="2" t="s">
        <v>120</v>
      </c>
      <c r="G263" s="2" t="s">
        <v>121</v>
      </c>
      <c r="H263">
        <v>0</v>
      </c>
      <c r="I263">
        <v>0</v>
      </c>
      <c r="J263" s="2" t="s">
        <v>24</v>
      </c>
      <c r="K263">
        <v>0</v>
      </c>
      <c r="L263" t="str">
        <f>_xlfn.XLOOKUP(G263, CodeDescriptions!B:B, CodeDescriptions!C:C, "Unknown")</f>
        <v>MISCELLANEOUS GENERAL LINE DELAYS</v>
      </c>
    </row>
    <row r="264" spans="1:12" x14ac:dyDescent="0.2">
      <c r="A264">
        <v>263</v>
      </c>
      <c r="B264" s="1">
        <v>46016</v>
      </c>
      <c r="C264" s="2" t="s">
        <v>13</v>
      </c>
      <c r="D264" s="3">
        <v>0.95277777777777772</v>
      </c>
      <c r="E264" s="2" t="s">
        <v>69</v>
      </c>
      <c r="F264" s="2" t="s">
        <v>15</v>
      </c>
      <c r="G264" s="2" t="s">
        <v>32</v>
      </c>
      <c r="H264">
        <v>0</v>
      </c>
      <c r="I264">
        <v>0</v>
      </c>
      <c r="J264" s="2" t="s">
        <v>24</v>
      </c>
      <c r="K264">
        <v>0</v>
      </c>
      <c r="L264" t="str">
        <f>_xlfn.XLOOKUP(G264, CodeDescriptions!B:B, CodeDescriptions!C:C, "Unknown")</f>
        <v>MISCELLANEOUS OTHER</v>
      </c>
    </row>
    <row r="265" spans="1:12" x14ac:dyDescent="0.2">
      <c r="A265">
        <v>264</v>
      </c>
      <c r="B265" s="1">
        <v>46017</v>
      </c>
      <c r="C265" s="2" t="s">
        <v>13</v>
      </c>
      <c r="D265" s="3">
        <v>0.27361111111111114</v>
      </c>
      <c r="E265" s="2" t="s">
        <v>75</v>
      </c>
      <c r="F265" s="2" t="s">
        <v>122</v>
      </c>
      <c r="G265" s="2" t="s">
        <v>65</v>
      </c>
      <c r="H265">
        <v>114</v>
      </c>
      <c r="I265">
        <v>124</v>
      </c>
      <c r="J265" s="2" t="s">
        <v>17</v>
      </c>
      <c r="K265">
        <v>6502</v>
      </c>
      <c r="L265" t="str">
        <f>_xlfn.XLOOKUP(G265, CodeDescriptions!B:B, CodeDescriptions!C:C, "Unknown")</f>
        <v>AUTO FOUL RAIL</v>
      </c>
    </row>
    <row r="266" spans="1:12" x14ac:dyDescent="0.2">
      <c r="A266">
        <v>265</v>
      </c>
      <c r="B266" s="1">
        <v>46017</v>
      </c>
      <c r="C266" s="2" t="s">
        <v>13</v>
      </c>
      <c r="D266" s="3">
        <v>0.31111111111111112</v>
      </c>
      <c r="E266" s="2" t="s">
        <v>75</v>
      </c>
      <c r="F266" s="2" t="s">
        <v>44</v>
      </c>
      <c r="G266" s="2" t="s">
        <v>123</v>
      </c>
      <c r="H266">
        <v>10</v>
      </c>
      <c r="I266">
        <v>20</v>
      </c>
      <c r="J266" s="2" t="s">
        <v>1</v>
      </c>
      <c r="K266">
        <v>0</v>
      </c>
      <c r="L266" t="str">
        <f>_xlfn.XLOOKUP(G266, CodeDescriptions!B:B, CodeDescriptions!C:C, "Unknown")</f>
        <v>NO OPERATOR AVAILABLE</v>
      </c>
    </row>
    <row r="267" spans="1:12" x14ac:dyDescent="0.2">
      <c r="A267">
        <v>266</v>
      </c>
      <c r="B267" s="1">
        <v>46017</v>
      </c>
      <c r="C267" s="2" t="s">
        <v>13</v>
      </c>
      <c r="D267" s="3">
        <v>0.31180555555555556</v>
      </c>
      <c r="E267" s="2" t="s">
        <v>75</v>
      </c>
      <c r="F267" s="2" t="s">
        <v>124</v>
      </c>
      <c r="G267" s="2" t="s">
        <v>85</v>
      </c>
      <c r="H267">
        <v>202</v>
      </c>
      <c r="I267">
        <v>212</v>
      </c>
      <c r="J267" s="2" t="s">
        <v>1</v>
      </c>
      <c r="K267">
        <v>6511</v>
      </c>
      <c r="L267" t="str">
        <f>_xlfn.XLOOKUP(G267, CodeDescriptions!B:B, CodeDescriptions!C:C, "Unknown")</f>
        <v>DATA COMMUNICATIONS SYSTEM FAILURE</v>
      </c>
    </row>
    <row r="268" spans="1:12" x14ac:dyDescent="0.2">
      <c r="A268">
        <v>267</v>
      </c>
      <c r="B268" s="1">
        <v>46017</v>
      </c>
      <c r="C268" s="2" t="s">
        <v>13</v>
      </c>
      <c r="D268" s="3">
        <v>0.3888888888888889</v>
      </c>
      <c r="E268" s="2" t="s">
        <v>75</v>
      </c>
      <c r="F268" s="2" t="s">
        <v>15</v>
      </c>
      <c r="G268" s="2" t="s">
        <v>54</v>
      </c>
      <c r="H268">
        <v>10</v>
      </c>
      <c r="I268">
        <v>20</v>
      </c>
      <c r="J268" s="2" t="s">
        <v>24</v>
      </c>
      <c r="K268">
        <v>0</v>
      </c>
      <c r="L268" t="str">
        <f>_xlfn.XLOOKUP(G268, CodeDescriptions!B:B, CodeDescriptions!C:C, "Unknown")</f>
        <v>TRACK SWITCH FAILURE</v>
      </c>
    </row>
    <row r="269" spans="1:12" x14ac:dyDescent="0.2">
      <c r="A269">
        <v>268</v>
      </c>
      <c r="B269" s="1">
        <v>46017</v>
      </c>
      <c r="C269" s="2" t="s">
        <v>13</v>
      </c>
      <c r="D269" s="3">
        <v>0.45</v>
      </c>
      <c r="E269" s="2" t="s">
        <v>75</v>
      </c>
      <c r="F269" s="2" t="s">
        <v>21</v>
      </c>
      <c r="G269" s="2" t="s">
        <v>54</v>
      </c>
      <c r="H269">
        <v>355</v>
      </c>
      <c r="I269">
        <v>365</v>
      </c>
      <c r="J269" s="2" t="s">
        <v>24</v>
      </c>
      <c r="K269">
        <v>0</v>
      </c>
      <c r="L269" t="str">
        <f>_xlfn.XLOOKUP(G269, CodeDescriptions!B:B, CodeDescriptions!C:C, "Unknown")</f>
        <v>TRACK SWITCH FAILURE</v>
      </c>
    </row>
    <row r="270" spans="1:12" x14ac:dyDescent="0.2">
      <c r="A270">
        <v>269</v>
      </c>
      <c r="B270" s="1">
        <v>46017</v>
      </c>
      <c r="C270" s="2" t="s">
        <v>13</v>
      </c>
      <c r="D270" s="3">
        <v>0.47222222222222221</v>
      </c>
      <c r="E270" s="2" t="s">
        <v>75</v>
      </c>
      <c r="F270" s="2" t="s">
        <v>15</v>
      </c>
      <c r="G270" s="2" t="s">
        <v>46</v>
      </c>
      <c r="H270">
        <v>10</v>
      </c>
      <c r="I270">
        <v>20</v>
      </c>
      <c r="J270" s="2" t="s">
        <v>1</v>
      </c>
      <c r="K270">
        <v>6511</v>
      </c>
      <c r="L270" t="str">
        <f>_xlfn.XLOOKUP(G270, CodeDescriptions!B:B, CodeDescriptions!C:C, "Unknown")</f>
        <v>HVAC</v>
      </c>
    </row>
    <row r="271" spans="1:12" x14ac:dyDescent="0.2">
      <c r="A271">
        <v>270</v>
      </c>
      <c r="B271" s="1">
        <v>46017</v>
      </c>
      <c r="C271" s="2" t="s">
        <v>13</v>
      </c>
      <c r="D271" s="3">
        <v>0.56944444444444442</v>
      </c>
      <c r="E271" s="2" t="s">
        <v>75</v>
      </c>
      <c r="F271" s="2" t="s">
        <v>125</v>
      </c>
      <c r="G271" s="2" t="s">
        <v>26</v>
      </c>
      <c r="H271">
        <v>122</v>
      </c>
      <c r="I271">
        <v>132</v>
      </c>
      <c r="J271" s="2" t="s">
        <v>17</v>
      </c>
      <c r="K271">
        <v>6505</v>
      </c>
      <c r="L271" t="str">
        <f>_xlfn.XLOOKUP(G271, CodeDescriptions!B:B, CodeDescriptions!C:C, "Unknown")</f>
        <v>EQUIPMENT - OTHER</v>
      </c>
    </row>
    <row r="272" spans="1:12" x14ac:dyDescent="0.2">
      <c r="A272">
        <v>271</v>
      </c>
      <c r="B272" s="1">
        <v>46017</v>
      </c>
      <c r="C272" s="2" t="s">
        <v>13</v>
      </c>
      <c r="D272" s="3">
        <v>0.61458333333333337</v>
      </c>
      <c r="E272" s="2" t="s">
        <v>75</v>
      </c>
      <c r="F272" s="2" t="s">
        <v>126</v>
      </c>
      <c r="G272" s="2" t="s">
        <v>127</v>
      </c>
      <c r="H272">
        <v>10</v>
      </c>
      <c r="I272">
        <v>20</v>
      </c>
      <c r="J272" s="2" t="s">
        <v>1</v>
      </c>
      <c r="K272">
        <v>6503</v>
      </c>
      <c r="L272" t="str">
        <f>_xlfn.XLOOKUP(G272, CodeDescriptions!B:B, CodeDescriptions!C:C, "Unknown")</f>
        <v>WINDSHIELD / WIPERS</v>
      </c>
    </row>
    <row r="273" spans="1:12" x14ac:dyDescent="0.2">
      <c r="A273">
        <v>272</v>
      </c>
      <c r="B273" s="1">
        <v>46017</v>
      </c>
      <c r="C273" s="2" t="s">
        <v>13</v>
      </c>
      <c r="D273" s="3">
        <v>0.64166666666666672</v>
      </c>
      <c r="E273" s="2" t="s">
        <v>75</v>
      </c>
      <c r="F273" s="2" t="s">
        <v>44</v>
      </c>
      <c r="G273" s="2" t="s">
        <v>54</v>
      </c>
      <c r="H273">
        <v>78</v>
      </c>
      <c r="I273">
        <v>89</v>
      </c>
      <c r="J273" s="2" t="s">
        <v>17</v>
      </c>
      <c r="K273">
        <v>6503</v>
      </c>
      <c r="L273" t="str">
        <f>_xlfn.XLOOKUP(G273, CodeDescriptions!B:B, CodeDescriptions!C:C, "Unknown")</f>
        <v>TRACK SWITCH FAILURE</v>
      </c>
    </row>
    <row r="274" spans="1:12" x14ac:dyDescent="0.2">
      <c r="A274">
        <v>273</v>
      </c>
      <c r="B274" s="1">
        <v>46017</v>
      </c>
      <c r="C274" s="2" t="s">
        <v>13</v>
      </c>
      <c r="D274" s="3">
        <v>0.66597222222222219</v>
      </c>
      <c r="E274" s="2" t="s">
        <v>75</v>
      </c>
      <c r="F274" s="2" t="s">
        <v>21</v>
      </c>
      <c r="G274" s="2" t="s">
        <v>36</v>
      </c>
      <c r="H274">
        <v>0</v>
      </c>
      <c r="I274">
        <v>0</v>
      </c>
      <c r="J274" s="2" t="s">
        <v>24</v>
      </c>
      <c r="K274">
        <v>0</v>
      </c>
      <c r="L274" t="str">
        <f>_xlfn.XLOOKUP(G274, CodeDescriptions!B:B, CodeDescriptions!C:C, "Unknown")</f>
        <v>INJURED/ILL CUSTOMER IN STATION/STOP – TRANSPORTED</v>
      </c>
    </row>
    <row r="275" spans="1:12" x14ac:dyDescent="0.2">
      <c r="A275">
        <v>274</v>
      </c>
      <c r="B275" s="1">
        <v>46017</v>
      </c>
      <c r="C275" s="2" t="s">
        <v>13</v>
      </c>
      <c r="D275" s="3">
        <v>0.71458333333333335</v>
      </c>
      <c r="E275" s="2" t="s">
        <v>75</v>
      </c>
      <c r="F275" s="2" t="s">
        <v>15</v>
      </c>
      <c r="G275" s="2" t="s">
        <v>128</v>
      </c>
      <c r="H275">
        <v>10</v>
      </c>
      <c r="I275">
        <v>20</v>
      </c>
      <c r="J275" s="2" t="s">
        <v>17</v>
      </c>
      <c r="K275">
        <v>0</v>
      </c>
      <c r="L275" t="str">
        <f>_xlfn.XLOOKUP(G275, CodeDescriptions!B:B, CodeDescriptions!C:C, "Unknown")</f>
        <v>NO OPERATOR AVAILABLE – NON ESA RELATED</v>
      </c>
    </row>
    <row r="276" spans="1:12" x14ac:dyDescent="0.2">
      <c r="A276">
        <v>275</v>
      </c>
      <c r="B276" s="1">
        <v>46017</v>
      </c>
      <c r="C276" s="2" t="s">
        <v>13</v>
      </c>
      <c r="D276" s="3">
        <v>0.72361111111111109</v>
      </c>
      <c r="E276" s="2" t="s">
        <v>75</v>
      </c>
      <c r="F276" s="2" t="s">
        <v>66</v>
      </c>
      <c r="G276" s="2" t="s">
        <v>54</v>
      </c>
      <c r="H276">
        <v>0</v>
      </c>
      <c r="I276">
        <v>0</v>
      </c>
      <c r="J276" s="2" t="s">
        <v>17</v>
      </c>
      <c r="K276">
        <v>0</v>
      </c>
      <c r="L276" t="str">
        <f>_xlfn.XLOOKUP(G276, CodeDescriptions!B:B, CodeDescriptions!C:C, "Unknown")</f>
        <v>TRACK SWITCH FAILURE</v>
      </c>
    </row>
    <row r="277" spans="1:12" x14ac:dyDescent="0.2">
      <c r="A277">
        <v>276</v>
      </c>
      <c r="B277" s="1">
        <v>46017</v>
      </c>
      <c r="C277" s="2" t="s">
        <v>13</v>
      </c>
      <c r="D277" s="3">
        <v>0.77222222222222225</v>
      </c>
      <c r="E277" s="2" t="s">
        <v>75</v>
      </c>
      <c r="F277" s="2" t="s">
        <v>15</v>
      </c>
      <c r="G277" s="2" t="s">
        <v>123</v>
      </c>
      <c r="H277">
        <v>12</v>
      </c>
      <c r="I277">
        <v>24</v>
      </c>
      <c r="J277" s="2" t="s">
        <v>17</v>
      </c>
      <c r="K277">
        <v>0</v>
      </c>
      <c r="L277" t="str">
        <f>_xlfn.XLOOKUP(G277, CodeDescriptions!B:B, CodeDescriptions!C:C, "Unknown")</f>
        <v>NO OPERATOR AVAILABLE</v>
      </c>
    </row>
    <row r="278" spans="1:12" x14ac:dyDescent="0.2">
      <c r="A278">
        <v>277</v>
      </c>
      <c r="B278" s="1">
        <v>46017</v>
      </c>
      <c r="C278" s="2" t="s">
        <v>13</v>
      </c>
      <c r="D278" s="3">
        <v>8.3333333333333332E-3</v>
      </c>
      <c r="E278" s="2" t="s">
        <v>75</v>
      </c>
      <c r="F278" s="2" t="s">
        <v>66</v>
      </c>
      <c r="G278" s="2" t="s">
        <v>54</v>
      </c>
      <c r="H278">
        <v>0</v>
      </c>
      <c r="I278">
        <v>0</v>
      </c>
      <c r="J278" s="2" t="s">
        <v>24</v>
      </c>
      <c r="K278">
        <v>0</v>
      </c>
      <c r="L278" t="str">
        <f>_xlfn.XLOOKUP(G278, CodeDescriptions!B:B, CodeDescriptions!C:C, "Unknown")</f>
        <v>TRACK SWITCH FAILURE</v>
      </c>
    </row>
    <row r="279" spans="1:12" x14ac:dyDescent="0.2">
      <c r="A279">
        <v>278</v>
      </c>
      <c r="B279" s="1">
        <v>46018</v>
      </c>
      <c r="C279" s="2" t="s">
        <v>13</v>
      </c>
      <c r="D279" s="3">
        <v>0.11388888888888889</v>
      </c>
      <c r="E279" s="2" t="s">
        <v>75</v>
      </c>
      <c r="F279" s="2" t="s">
        <v>62</v>
      </c>
      <c r="G279" s="2" t="s">
        <v>54</v>
      </c>
      <c r="H279">
        <v>0</v>
      </c>
      <c r="I279">
        <v>0</v>
      </c>
      <c r="J279" s="2" t="s">
        <v>24</v>
      </c>
      <c r="K279">
        <v>0</v>
      </c>
      <c r="L279" t="str">
        <f>_xlfn.XLOOKUP(G279, CodeDescriptions!B:B, CodeDescriptions!C:C, "Unknown")</f>
        <v>TRACK SWITCH FAILURE</v>
      </c>
    </row>
    <row r="280" spans="1:12" x14ac:dyDescent="0.2">
      <c r="A280">
        <v>279</v>
      </c>
      <c r="B280" s="1">
        <v>46018</v>
      </c>
      <c r="C280" s="2" t="s">
        <v>13</v>
      </c>
      <c r="D280" s="3">
        <v>0.12361111111111112</v>
      </c>
      <c r="E280" s="2" t="s">
        <v>75</v>
      </c>
      <c r="F280" s="2" t="s">
        <v>78</v>
      </c>
      <c r="G280" s="2" t="s">
        <v>54</v>
      </c>
      <c r="H280">
        <v>0</v>
      </c>
      <c r="I280">
        <v>0</v>
      </c>
      <c r="J280" s="2" t="s">
        <v>1</v>
      </c>
      <c r="K280">
        <v>0</v>
      </c>
      <c r="L280" t="str">
        <f>_xlfn.XLOOKUP(G280, CodeDescriptions!B:B, CodeDescriptions!C:C, "Unknown")</f>
        <v>TRACK SWITCH FAILURE</v>
      </c>
    </row>
    <row r="281" spans="1:12" x14ac:dyDescent="0.2">
      <c r="A281">
        <v>280</v>
      </c>
      <c r="B281" s="1">
        <v>46018</v>
      </c>
      <c r="C281" s="2" t="s">
        <v>13</v>
      </c>
      <c r="D281" s="3">
        <v>0.23402777777777778</v>
      </c>
      <c r="E281" s="2" t="s">
        <v>75</v>
      </c>
      <c r="F281" s="2" t="s">
        <v>30</v>
      </c>
      <c r="G281" s="2" t="s">
        <v>129</v>
      </c>
      <c r="H281">
        <v>5</v>
      </c>
      <c r="I281">
        <v>19</v>
      </c>
      <c r="J281" s="2" t="s">
        <v>17</v>
      </c>
      <c r="K281">
        <v>6506</v>
      </c>
      <c r="L281" t="str">
        <f>_xlfn.XLOOKUP(G281, CodeDescriptions!B:B, CodeDescriptions!C:C, "Unknown")</f>
        <v>Unknown</v>
      </c>
    </row>
    <row r="282" spans="1:12" x14ac:dyDescent="0.2">
      <c r="A282">
        <v>281</v>
      </c>
      <c r="B282" s="1">
        <v>46018</v>
      </c>
      <c r="C282" s="2" t="s">
        <v>13</v>
      </c>
      <c r="D282" s="3">
        <v>0.2722222222222222</v>
      </c>
      <c r="E282" s="2" t="s">
        <v>75</v>
      </c>
      <c r="F282" s="2" t="s">
        <v>15</v>
      </c>
      <c r="G282" s="2" t="s">
        <v>108</v>
      </c>
      <c r="H282">
        <v>7</v>
      </c>
      <c r="I282">
        <v>22</v>
      </c>
      <c r="J282" s="2" t="s">
        <v>1</v>
      </c>
      <c r="K282">
        <v>6501</v>
      </c>
      <c r="L282" t="str">
        <f>_xlfn.XLOOKUP(G282, CodeDescriptions!B:B, CodeDescriptions!C:C, "Unknown")</f>
        <v>UNAUTHORIZED IN THE EXCLUSIVE GUIDEWAY</v>
      </c>
    </row>
    <row r="283" spans="1:12" x14ac:dyDescent="0.2">
      <c r="A283">
        <v>282</v>
      </c>
      <c r="B283" s="1">
        <v>46018</v>
      </c>
      <c r="C283" s="2" t="s">
        <v>13</v>
      </c>
      <c r="D283" s="3">
        <v>0.33680555555555558</v>
      </c>
      <c r="E283" s="2" t="s">
        <v>75</v>
      </c>
      <c r="F283" s="2" t="s">
        <v>21</v>
      </c>
      <c r="G283" s="2" t="s">
        <v>72</v>
      </c>
      <c r="H283">
        <v>0</v>
      </c>
      <c r="I283">
        <v>0</v>
      </c>
      <c r="J283" s="2" t="s">
        <v>24</v>
      </c>
      <c r="K283">
        <v>0</v>
      </c>
      <c r="L283" t="str">
        <f>_xlfn.XLOOKUP(G283, CodeDescriptions!B:B, CodeDescriptions!C:C, "Unknown")</f>
        <v>INJURED TTC EMPLOYEE</v>
      </c>
    </row>
    <row r="284" spans="1:12" x14ac:dyDescent="0.2">
      <c r="A284">
        <v>283</v>
      </c>
      <c r="B284" s="1">
        <v>46018</v>
      </c>
      <c r="C284" s="2" t="s">
        <v>13</v>
      </c>
      <c r="D284" s="3">
        <v>0.4152777777777778</v>
      </c>
      <c r="E284" s="2" t="s">
        <v>75</v>
      </c>
      <c r="F284" s="2" t="s">
        <v>21</v>
      </c>
      <c r="G284" s="2" t="s">
        <v>22</v>
      </c>
      <c r="H284">
        <v>5</v>
      </c>
      <c r="I284">
        <v>15</v>
      </c>
      <c r="J284" s="2" t="s">
        <v>1</v>
      </c>
      <c r="K284">
        <v>6502</v>
      </c>
      <c r="L284" t="str">
        <f>_xlfn.XLOOKUP(G284, CodeDescriptions!B:B, CodeDescriptions!C:C, "Unknown")</f>
        <v>BODY</v>
      </c>
    </row>
    <row r="285" spans="1:12" x14ac:dyDescent="0.2">
      <c r="A285">
        <v>284</v>
      </c>
      <c r="B285" s="1">
        <v>46018</v>
      </c>
      <c r="C285" s="2" t="s">
        <v>13</v>
      </c>
      <c r="D285" s="3">
        <v>0.50416666666666665</v>
      </c>
      <c r="E285" s="2" t="s">
        <v>75</v>
      </c>
      <c r="F285" s="2" t="s">
        <v>70</v>
      </c>
      <c r="G285" s="2" t="s">
        <v>130</v>
      </c>
      <c r="H285">
        <v>5</v>
      </c>
      <c r="I285">
        <v>15</v>
      </c>
      <c r="J285" s="2" t="s">
        <v>17</v>
      </c>
      <c r="K285">
        <v>6505</v>
      </c>
      <c r="L285" t="str">
        <f>_xlfn.XLOOKUP(G285, CodeDescriptions!B:B, CodeDescriptions!C:C, "Unknown")</f>
        <v>WEATHER REPORTS / RELATED PROBLEMS</v>
      </c>
    </row>
    <row r="286" spans="1:12" x14ac:dyDescent="0.2">
      <c r="A286">
        <v>285</v>
      </c>
      <c r="B286" s="1">
        <v>46018</v>
      </c>
      <c r="C286" s="2" t="s">
        <v>13</v>
      </c>
      <c r="D286" s="3">
        <v>0.5131944444444444</v>
      </c>
      <c r="E286" s="2" t="s">
        <v>75</v>
      </c>
      <c r="F286" s="2" t="s">
        <v>21</v>
      </c>
      <c r="G286" s="2" t="s">
        <v>32</v>
      </c>
      <c r="H286">
        <v>3</v>
      </c>
      <c r="I286">
        <v>13</v>
      </c>
      <c r="J286" s="2" t="s">
        <v>17</v>
      </c>
      <c r="K286">
        <v>6504</v>
      </c>
      <c r="L286" t="str">
        <f>_xlfn.XLOOKUP(G286, CodeDescriptions!B:B, CodeDescriptions!C:C, "Unknown")</f>
        <v>MISCELLANEOUS OTHER</v>
      </c>
    </row>
    <row r="287" spans="1:12" x14ac:dyDescent="0.2">
      <c r="A287">
        <v>286</v>
      </c>
      <c r="B287" s="1">
        <v>46018</v>
      </c>
      <c r="C287" s="2" t="s">
        <v>13</v>
      </c>
      <c r="D287" s="3">
        <v>0.74236111111111114</v>
      </c>
      <c r="E287" s="2" t="s">
        <v>75</v>
      </c>
      <c r="F287" s="2" t="s">
        <v>50</v>
      </c>
      <c r="G287" s="2" t="s">
        <v>46</v>
      </c>
      <c r="H287">
        <v>0</v>
      </c>
      <c r="I287">
        <v>0</v>
      </c>
      <c r="J287" s="2" t="s">
        <v>17</v>
      </c>
      <c r="K287">
        <v>6506</v>
      </c>
      <c r="L287" t="str">
        <f>_xlfn.XLOOKUP(G287, CodeDescriptions!B:B, CodeDescriptions!C:C, "Unknown")</f>
        <v>HVAC</v>
      </c>
    </row>
    <row r="288" spans="1:12" x14ac:dyDescent="0.2">
      <c r="A288">
        <v>287</v>
      </c>
      <c r="B288" s="1">
        <v>46018</v>
      </c>
      <c r="C288" s="2" t="s">
        <v>13</v>
      </c>
      <c r="D288" s="3">
        <v>0.83750000000000002</v>
      </c>
      <c r="E288" s="2" t="s">
        <v>75</v>
      </c>
      <c r="F288" s="2" t="s">
        <v>21</v>
      </c>
      <c r="G288" s="2" t="s">
        <v>43</v>
      </c>
      <c r="H288">
        <v>15</v>
      </c>
      <c r="I288">
        <v>27</v>
      </c>
      <c r="J288" s="2" t="s">
        <v>24</v>
      </c>
      <c r="K288">
        <v>6501</v>
      </c>
      <c r="L288" t="str">
        <f>_xlfn.XLOOKUP(G288, CodeDescriptions!B:B, CodeDescriptions!C:C, "Unknown")</f>
        <v>OPERATOR NOT IN POSTION</v>
      </c>
    </row>
    <row r="289" spans="1:12" x14ac:dyDescent="0.2">
      <c r="A289">
        <v>288</v>
      </c>
      <c r="B289" s="1">
        <v>46018</v>
      </c>
      <c r="C289" s="2" t="s">
        <v>13</v>
      </c>
      <c r="D289" s="3">
        <v>0.85347222222222219</v>
      </c>
      <c r="E289" s="2" t="s">
        <v>75</v>
      </c>
      <c r="F289" s="2" t="s">
        <v>21</v>
      </c>
      <c r="G289" s="2" t="s">
        <v>74</v>
      </c>
      <c r="H289">
        <v>0</v>
      </c>
      <c r="I289">
        <v>0</v>
      </c>
      <c r="J289" s="2" t="s">
        <v>24</v>
      </c>
      <c r="K289">
        <v>0</v>
      </c>
      <c r="L289" t="str">
        <f>_xlfn.XLOOKUP(G289, CodeDescriptions!B:B, CodeDescriptions!C:C, "Unknown")</f>
        <v>GIDS ACTIVATION</v>
      </c>
    </row>
    <row r="290" spans="1:12" x14ac:dyDescent="0.2">
      <c r="A290">
        <v>289</v>
      </c>
      <c r="B290" s="1">
        <v>46018</v>
      </c>
      <c r="C290" s="2" t="s">
        <v>13</v>
      </c>
      <c r="D290" s="3">
        <v>7.1527777777777773E-2</v>
      </c>
      <c r="E290" s="2" t="s">
        <v>75</v>
      </c>
      <c r="F290" s="2" t="s">
        <v>62</v>
      </c>
      <c r="G290" s="2" t="s">
        <v>54</v>
      </c>
      <c r="H290">
        <v>0</v>
      </c>
      <c r="I290">
        <v>0</v>
      </c>
      <c r="J290" s="2" t="s">
        <v>1</v>
      </c>
      <c r="K290">
        <v>0</v>
      </c>
      <c r="L290" t="str">
        <f>_xlfn.XLOOKUP(G290, CodeDescriptions!B:B, CodeDescriptions!C:C, "Unknown")</f>
        <v>TRACK SWITCH FAILURE</v>
      </c>
    </row>
    <row r="291" spans="1:12" x14ac:dyDescent="0.2">
      <c r="A291">
        <v>290</v>
      </c>
      <c r="B291" s="1">
        <v>46019</v>
      </c>
      <c r="C291" s="2" t="s">
        <v>13</v>
      </c>
      <c r="D291" s="3">
        <v>0.3659722222222222</v>
      </c>
      <c r="E291" s="2" t="s">
        <v>14</v>
      </c>
      <c r="F291" s="2" t="s">
        <v>15</v>
      </c>
      <c r="G291" s="2" t="s">
        <v>46</v>
      </c>
      <c r="H291">
        <v>7</v>
      </c>
      <c r="I291">
        <v>17</v>
      </c>
      <c r="J291" s="2" t="s">
        <v>17</v>
      </c>
      <c r="K291">
        <v>6506</v>
      </c>
      <c r="L291" t="str">
        <f>_xlfn.XLOOKUP(G291, CodeDescriptions!B:B, CodeDescriptions!C:C, "Unknown")</f>
        <v>HVAC</v>
      </c>
    </row>
    <row r="292" spans="1:12" x14ac:dyDescent="0.2">
      <c r="A292">
        <v>291</v>
      </c>
      <c r="B292" s="1">
        <v>46019</v>
      </c>
      <c r="C292" s="2" t="s">
        <v>13</v>
      </c>
      <c r="D292" s="3">
        <v>0.36736111111111114</v>
      </c>
      <c r="E292" s="2" t="s">
        <v>14</v>
      </c>
      <c r="F292" s="2" t="s">
        <v>15</v>
      </c>
      <c r="G292" s="2" t="s">
        <v>46</v>
      </c>
      <c r="H292">
        <v>10</v>
      </c>
      <c r="I292">
        <v>20</v>
      </c>
      <c r="J292" s="2" t="s">
        <v>24</v>
      </c>
      <c r="K292">
        <v>6515</v>
      </c>
      <c r="L292" t="str">
        <f>_xlfn.XLOOKUP(G292, CodeDescriptions!B:B, CodeDescriptions!C:C, "Unknown")</f>
        <v>HVAC</v>
      </c>
    </row>
    <row r="293" spans="1:12" x14ac:dyDescent="0.2">
      <c r="A293">
        <v>292</v>
      </c>
      <c r="B293" s="1">
        <v>46019</v>
      </c>
      <c r="C293" s="2" t="s">
        <v>13</v>
      </c>
      <c r="D293" s="3">
        <v>0.37569444444444444</v>
      </c>
      <c r="E293" s="2" t="s">
        <v>14</v>
      </c>
      <c r="F293" s="2" t="s">
        <v>21</v>
      </c>
      <c r="G293" s="2" t="s">
        <v>54</v>
      </c>
      <c r="H293">
        <v>10</v>
      </c>
      <c r="I293">
        <v>20</v>
      </c>
      <c r="J293" s="2" t="s">
        <v>1</v>
      </c>
      <c r="K293">
        <v>6504</v>
      </c>
      <c r="L293" t="str">
        <f>_xlfn.XLOOKUP(G293, CodeDescriptions!B:B, CodeDescriptions!C:C, "Unknown")</f>
        <v>TRACK SWITCH FAILURE</v>
      </c>
    </row>
    <row r="294" spans="1:12" x14ac:dyDescent="0.2">
      <c r="A294">
        <v>293</v>
      </c>
      <c r="B294" s="1">
        <v>46019</v>
      </c>
      <c r="C294" s="2" t="s">
        <v>13</v>
      </c>
      <c r="D294" s="3">
        <v>0.38472222222222224</v>
      </c>
      <c r="E294" s="2" t="s">
        <v>14</v>
      </c>
      <c r="F294" s="2" t="s">
        <v>50</v>
      </c>
      <c r="G294" s="2" t="s">
        <v>20</v>
      </c>
      <c r="H294">
        <v>3</v>
      </c>
      <c r="I294">
        <v>13</v>
      </c>
      <c r="J294" s="2" t="s">
        <v>1</v>
      </c>
      <c r="K294">
        <v>6501</v>
      </c>
      <c r="L294" t="str">
        <f>_xlfn.XLOOKUP(G294, CodeDescriptions!B:B, CodeDescriptions!C:C, "Unknown")</f>
        <v>BRAKES</v>
      </c>
    </row>
    <row r="295" spans="1:12" x14ac:dyDescent="0.2">
      <c r="A295">
        <v>294</v>
      </c>
      <c r="B295" s="1">
        <v>46019</v>
      </c>
      <c r="C295" s="2" t="s">
        <v>13</v>
      </c>
      <c r="D295" s="3">
        <v>0.41597222222222224</v>
      </c>
      <c r="E295" s="2" t="s">
        <v>14</v>
      </c>
      <c r="F295" s="2" t="s">
        <v>21</v>
      </c>
      <c r="G295" s="2" t="s">
        <v>54</v>
      </c>
      <c r="H295">
        <v>10</v>
      </c>
      <c r="I295">
        <v>20</v>
      </c>
      <c r="J295" s="2" t="s">
        <v>17</v>
      </c>
      <c r="K295">
        <v>6513</v>
      </c>
      <c r="L295" t="str">
        <f>_xlfn.XLOOKUP(G295, CodeDescriptions!B:B, CodeDescriptions!C:C, "Unknown")</f>
        <v>TRACK SWITCH FAILURE</v>
      </c>
    </row>
    <row r="296" spans="1:12" x14ac:dyDescent="0.2">
      <c r="A296">
        <v>295</v>
      </c>
      <c r="B296" s="1">
        <v>46019</v>
      </c>
      <c r="C296" s="2" t="s">
        <v>13</v>
      </c>
      <c r="D296" s="3">
        <v>0.42777777777777776</v>
      </c>
      <c r="E296" s="2" t="s">
        <v>14</v>
      </c>
      <c r="F296" s="2" t="s">
        <v>15</v>
      </c>
      <c r="G296" s="2" t="s">
        <v>29</v>
      </c>
      <c r="H296">
        <v>3</v>
      </c>
      <c r="I296">
        <v>13</v>
      </c>
      <c r="J296" s="2" t="s">
        <v>17</v>
      </c>
      <c r="K296">
        <v>6514</v>
      </c>
      <c r="L296" t="str">
        <f>_xlfn.XLOOKUP(G296, CodeDescriptions!B:B, CodeDescriptions!C:C, "Unknown")</f>
        <v>TRANSPORTATION OTHER</v>
      </c>
    </row>
    <row r="297" spans="1:12" x14ac:dyDescent="0.2">
      <c r="A297">
        <v>296</v>
      </c>
      <c r="B297" s="1">
        <v>46019</v>
      </c>
      <c r="C297" s="2" t="s">
        <v>13</v>
      </c>
      <c r="D297" s="3">
        <v>0.44097222222222221</v>
      </c>
      <c r="E297" s="2" t="s">
        <v>14</v>
      </c>
      <c r="F297" s="2" t="s">
        <v>27</v>
      </c>
      <c r="G297" s="2" t="s">
        <v>131</v>
      </c>
      <c r="H297">
        <v>5</v>
      </c>
      <c r="I297">
        <v>15</v>
      </c>
      <c r="J297" s="2" t="s">
        <v>1</v>
      </c>
      <c r="K297">
        <v>6501</v>
      </c>
      <c r="L297" t="str">
        <f>_xlfn.XLOOKUP(G297, CodeDescriptions!B:B, CodeDescriptions!C:C, "Unknown")</f>
        <v>INJURED/ILL CUSTOMER IN STATION/STOP – MEDICAL AID REFUSED</v>
      </c>
    </row>
    <row r="298" spans="1:12" x14ac:dyDescent="0.2">
      <c r="A298">
        <v>297</v>
      </c>
      <c r="B298" s="1">
        <v>46019</v>
      </c>
      <c r="C298" s="2" t="s">
        <v>13</v>
      </c>
      <c r="D298" s="3">
        <v>0.47222222222222221</v>
      </c>
      <c r="E298" s="2" t="s">
        <v>14</v>
      </c>
      <c r="F298" s="2" t="s">
        <v>15</v>
      </c>
      <c r="G298" s="2" t="s">
        <v>20</v>
      </c>
      <c r="H298">
        <v>10</v>
      </c>
      <c r="I298">
        <v>20</v>
      </c>
      <c r="J298" s="2" t="s">
        <v>17</v>
      </c>
      <c r="K298">
        <v>6501</v>
      </c>
      <c r="L298" t="str">
        <f>_xlfn.XLOOKUP(G298, CodeDescriptions!B:B, CodeDescriptions!C:C, "Unknown")</f>
        <v>BRAKES</v>
      </c>
    </row>
    <row r="299" spans="1:12" x14ac:dyDescent="0.2">
      <c r="A299">
        <v>298</v>
      </c>
      <c r="B299" s="1">
        <v>46019</v>
      </c>
      <c r="C299" s="2" t="s">
        <v>13</v>
      </c>
      <c r="D299" s="3">
        <v>0.60416666666666663</v>
      </c>
      <c r="E299" s="2" t="s">
        <v>14</v>
      </c>
      <c r="F299" s="2" t="s">
        <v>15</v>
      </c>
      <c r="G299" s="2" t="s">
        <v>26</v>
      </c>
      <c r="H299">
        <v>10</v>
      </c>
      <c r="I299">
        <v>20</v>
      </c>
      <c r="J299" s="2" t="s">
        <v>1</v>
      </c>
      <c r="K299">
        <v>6515</v>
      </c>
      <c r="L299" t="str">
        <f>_xlfn.XLOOKUP(G299, CodeDescriptions!B:B, CodeDescriptions!C:C, "Unknown")</f>
        <v>EQUIPMENT - OTHER</v>
      </c>
    </row>
    <row r="300" spans="1:12" x14ac:dyDescent="0.2">
      <c r="A300">
        <v>299</v>
      </c>
      <c r="B300" s="1">
        <v>46019</v>
      </c>
      <c r="C300" s="2" t="s">
        <v>13</v>
      </c>
      <c r="D300" s="3">
        <v>0.60902777777777772</v>
      </c>
      <c r="E300" s="2" t="s">
        <v>14</v>
      </c>
      <c r="F300" s="2" t="s">
        <v>15</v>
      </c>
      <c r="G300" s="2" t="s">
        <v>46</v>
      </c>
      <c r="H300">
        <v>10</v>
      </c>
      <c r="I300">
        <v>20</v>
      </c>
      <c r="J300" s="2" t="s">
        <v>17</v>
      </c>
      <c r="K300">
        <v>6507</v>
      </c>
      <c r="L300" t="str">
        <f>_xlfn.XLOOKUP(G300, CodeDescriptions!B:B, CodeDescriptions!C:C, "Unknown")</f>
        <v>HVAC</v>
      </c>
    </row>
    <row r="301" spans="1:12" x14ac:dyDescent="0.2">
      <c r="A301">
        <v>300</v>
      </c>
      <c r="B301" s="1">
        <v>46019</v>
      </c>
      <c r="C301" s="2" t="s">
        <v>13</v>
      </c>
      <c r="D301" s="3">
        <v>0.76111111111111107</v>
      </c>
      <c r="E301" s="2" t="s">
        <v>14</v>
      </c>
      <c r="F301" s="2" t="s">
        <v>53</v>
      </c>
      <c r="G301" s="2" t="s">
        <v>26</v>
      </c>
      <c r="H301">
        <v>0</v>
      </c>
      <c r="I301">
        <v>0</v>
      </c>
      <c r="J301" s="2" t="s">
        <v>17</v>
      </c>
      <c r="K301">
        <v>6515</v>
      </c>
      <c r="L301" t="str">
        <f>_xlfn.XLOOKUP(G301, CodeDescriptions!B:B, CodeDescriptions!C:C, "Unknown")</f>
        <v>EQUIPMENT - OTHER</v>
      </c>
    </row>
    <row r="302" spans="1:12" x14ac:dyDescent="0.2">
      <c r="A302">
        <v>301</v>
      </c>
      <c r="B302" s="1">
        <v>46019</v>
      </c>
      <c r="C302" s="2" t="s">
        <v>13</v>
      </c>
      <c r="D302" s="3">
        <v>0.77361111111111114</v>
      </c>
      <c r="E302" s="2" t="s">
        <v>14</v>
      </c>
      <c r="F302" s="2" t="s">
        <v>44</v>
      </c>
      <c r="G302" s="2" t="s">
        <v>26</v>
      </c>
      <c r="H302">
        <v>10</v>
      </c>
      <c r="I302">
        <v>20</v>
      </c>
      <c r="J302" s="2" t="s">
        <v>17</v>
      </c>
      <c r="K302">
        <v>6516</v>
      </c>
      <c r="L302" t="str">
        <f>_xlfn.XLOOKUP(G302, CodeDescriptions!B:B, CodeDescriptions!C:C, "Unknown")</f>
        <v>EQUIPMENT - OTHER</v>
      </c>
    </row>
    <row r="303" spans="1:12" x14ac:dyDescent="0.2">
      <c r="A303">
        <v>302</v>
      </c>
      <c r="B303" s="1">
        <v>46019</v>
      </c>
      <c r="C303" s="2" t="s">
        <v>13</v>
      </c>
      <c r="D303" s="3">
        <v>0.8125</v>
      </c>
      <c r="E303" s="2" t="s">
        <v>14</v>
      </c>
      <c r="F303" s="2" t="s">
        <v>21</v>
      </c>
      <c r="G303" s="2" t="s">
        <v>132</v>
      </c>
      <c r="H303">
        <v>186</v>
      </c>
      <c r="I303">
        <v>198</v>
      </c>
      <c r="J303" s="2" t="s">
        <v>17</v>
      </c>
      <c r="K303">
        <v>6504</v>
      </c>
      <c r="L303" t="str">
        <f>_xlfn.XLOOKUP(G303, CodeDescriptions!B:B, CodeDescriptions!C:C, "Unknown")</f>
        <v>FIRE SMOKE PLAN C</v>
      </c>
    </row>
    <row r="304" spans="1:12" x14ac:dyDescent="0.2">
      <c r="A304">
        <v>303</v>
      </c>
      <c r="B304" s="1">
        <v>46019</v>
      </c>
      <c r="C304" s="2" t="s">
        <v>13</v>
      </c>
      <c r="D304" s="3">
        <v>0.82986111111111116</v>
      </c>
      <c r="E304" s="2" t="s">
        <v>14</v>
      </c>
      <c r="F304" s="2" t="s">
        <v>27</v>
      </c>
      <c r="G304" s="2" t="s">
        <v>46</v>
      </c>
      <c r="H304">
        <v>12</v>
      </c>
      <c r="I304">
        <v>24</v>
      </c>
      <c r="J304" s="2" t="s">
        <v>17</v>
      </c>
      <c r="K304">
        <v>6504</v>
      </c>
      <c r="L304" t="str">
        <f>_xlfn.XLOOKUP(G304, CodeDescriptions!B:B, CodeDescriptions!C:C, "Unknown")</f>
        <v>HVAC</v>
      </c>
    </row>
    <row r="305" spans="1:12" x14ac:dyDescent="0.2">
      <c r="A305">
        <v>304</v>
      </c>
      <c r="B305" s="1">
        <v>46019</v>
      </c>
      <c r="C305" s="2" t="s">
        <v>13</v>
      </c>
      <c r="D305" s="3">
        <v>0.8666666666666667</v>
      </c>
      <c r="E305" s="2" t="s">
        <v>14</v>
      </c>
      <c r="F305" s="2" t="s">
        <v>15</v>
      </c>
      <c r="G305" s="2" t="s">
        <v>73</v>
      </c>
      <c r="H305">
        <v>12</v>
      </c>
      <c r="I305">
        <v>22</v>
      </c>
      <c r="J305" s="2" t="s">
        <v>17</v>
      </c>
      <c r="K305">
        <v>6501</v>
      </c>
      <c r="L305" t="str">
        <f>_xlfn.XLOOKUP(G305, CodeDescriptions!B:B, CodeDescriptions!C:C, "Unknown")</f>
        <v>COMMUNICATION EQUIPMENT (INCLUDES STOP ANNOUNCEMENT)</v>
      </c>
    </row>
    <row r="306" spans="1:12" x14ac:dyDescent="0.2">
      <c r="A306">
        <v>305</v>
      </c>
      <c r="B306" s="1">
        <v>46019</v>
      </c>
      <c r="C306" s="2" t="s">
        <v>13</v>
      </c>
      <c r="D306" s="3">
        <v>0.95416666666666672</v>
      </c>
      <c r="E306" s="2" t="s">
        <v>14</v>
      </c>
      <c r="F306" s="2" t="s">
        <v>25</v>
      </c>
      <c r="G306" s="2" t="s">
        <v>45</v>
      </c>
      <c r="H306">
        <v>0</v>
      </c>
      <c r="I306">
        <v>0</v>
      </c>
      <c r="J306" s="2" t="s">
        <v>17</v>
      </c>
      <c r="K306">
        <v>6513</v>
      </c>
      <c r="L306" t="str">
        <f>_xlfn.XLOOKUP(G306, CodeDescriptions!B:B, CodeDescriptions!C:C, "Unknown")</f>
        <v>OPERATOR OVERSPEED</v>
      </c>
    </row>
    <row r="307" spans="1:12" x14ac:dyDescent="0.2">
      <c r="A307">
        <v>306</v>
      </c>
      <c r="B307" s="1">
        <v>46019</v>
      </c>
      <c r="C307" s="2" t="s">
        <v>13</v>
      </c>
      <c r="D307" s="3">
        <v>0.96111111111111114</v>
      </c>
      <c r="E307" s="2" t="s">
        <v>14</v>
      </c>
      <c r="F307" s="2" t="s">
        <v>44</v>
      </c>
      <c r="G307" s="2" t="s">
        <v>45</v>
      </c>
      <c r="H307">
        <v>0</v>
      </c>
      <c r="I307">
        <v>0</v>
      </c>
      <c r="J307" s="2" t="s">
        <v>17</v>
      </c>
      <c r="K307">
        <v>6504</v>
      </c>
      <c r="L307" t="str">
        <f>_xlfn.XLOOKUP(G307, CodeDescriptions!B:B, CodeDescriptions!C:C, "Unknown")</f>
        <v>OPERATOR OVERSPEED</v>
      </c>
    </row>
    <row r="308" spans="1:12" x14ac:dyDescent="0.2">
      <c r="A308">
        <v>307</v>
      </c>
      <c r="B308" s="1">
        <v>46020</v>
      </c>
      <c r="C308" s="2" t="s">
        <v>13</v>
      </c>
      <c r="D308" s="3">
        <v>0.27083333333333331</v>
      </c>
      <c r="E308" s="2" t="s">
        <v>40</v>
      </c>
      <c r="F308" s="2" t="s">
        <v>25</v>
      </c>
      <c r="G308" s="2" t="s">
        <v>19</v>
      </c>
      <c r="H308">
        <v>4</v>
      </c>
      <c r="I308">
        <v>14</v>
      </c>
      <c r="J308" s="2" t="s">
        <v>17</v>
      </c>
      <c r="K308">
        <v>6505</v>
      </c>
      <c r="L308" t="str">
        <f>_xlfn.XLOOKUP(G308, CodeDescriptions!B:B, CodeDescriptions!C:C, "Unknown")</f>
        <v>TRACTION MOTORS</v>
      </c>
    </row>
    <row r="309" spans="1:12" x14ac:dyDescent="0.2">
      <c r="A309">
        <v>308</v>
      </c>
      <c r="B309" s="1">
        <v>46020</v>
      </c>
      <c r="C309" s="2" t="s">
        <v>13</v>
      </c>
      <c r="D309" s="3">
        <v>0.28263888888888888</v>
      </c>
      <c r="E309" s="2" t="s">
        <v>40</v>
      </c>
      <c r="F309" s="2" t="s">
        <v>25</v>
      </c>
      <c r="G309" s="2" t="s">
        <v>19</v>
      </c>
      <c r="H309">
        <v>4</v>
      </c>
      <c r="I309">
        <v>14</v>
      </c>
      <c r="J309" s="2" t="s">
        <v>17</v>
      </c>
      <c r="K309">
        <v>6504</v>
      </c>
      <c r="L309" t="str">
        <f>_xlfn.XLOOKUP(G309, CodeDescriptions!B:B, CodeDescriptions!C:C, "Unknown")</f>
        <v>TRACTION MOTORS</v>
      </c>
    </row>
    <row r="310" spans="1:12" x14ac:dyDescent="0.2">
      <c r="A310">
        <v>309</v>
      </c>
      <c r="B310" s="1">
        <v>46020</v>
      </c>
      <c r="C310" s="2" t="s">
        <v>13</v>
      </c>
      <c r="D310" s="3">
        <v>0.31736111111111109</v>
      </c>
      <c r="E310" s="2" t="s">
        <v>40</v>
      </c>
      <c r="F310" s="2" t="s">
        <v>47</v>
      </c>
      <c r="G310" s="2" t="s">
        <v>22</v>
      </c>
      <c r="H310">
        <v>0</v>
      </c>
      <c r="I310">
        <v>0</v>
      </c>
      <c r="J310" s="2" t="s">
        <v>17</v>
      </c>
      <c r="K310">
        <v>6515</v>
      </c>
      <c r="L310" t="str">
        <f>_xlfn.XLOOKUP(G310, CodeDescriptions!B:B, CodeDescriptions!C:C, "Unknown")</f>
        <v>BODY</v>
      </c>
    </row>
    <row r="311" spans="1:12" x14ac:dyDescent="0.2">
      <c r="A311">
        <v>310</v>
      </c>
      <c r="B311" s="1">
        <v>46020</v>
      </c>
      <c r="C311" s="2" t="s">
        <v>13</v>
      </c>
      <c r="D311" s="3">
        <v>0.44236111111111109</v>
      </c>
      <c r="E311" s="2" t="s">
        <v>40</v>
      </c>
      <c r="F311" s="2" t="s">
        <v>18</v>
      </c>
      <c r="G311" s="2" t="s">
        <v>19</v>
      </c>
      <c r="H311">
        <v>0</v>
      </c>
      <c r="I311">
        <v>0</v>
      </c>
      <c r="J311" s="2" t="s">
        <v>1</v>
      </c>
      <c r="K311">
        <v>6503</v>
      </c>
      <c r="L311" t="str">
        <f>_xlfn.XLOOKUP(G311, CodeDescriptions!B:B, CodeDescriptions!C:C, "Unknown")</f>
        <v>TRACTION MOTORS</v>
      </c>
    </row>
    <row r="312" spans="1:12" x14ac:dyDescent="0.2">
      <c r="A312">
        <v>311</v>
      </c>
      <c r="B312" s="1">
        <v>46020</v>
      </c>
      <c r="C312" s="2" t="s">
        <v>13</v>
      </c>
      <c r="D312" s="3">
        <v>0.58888888888888891</v>
      </c>
      <c r="E312" s="2" t="s">
        <v>40</v>
      </c>
      <c r="F312" s="2" t="s">
        <v>96</v>
      </c>
      <c r="G312" s="2" t="s">
        <v>39</v>
      </c>
      <c r="H312">
        <v>3</v>
      </c>
      <c r="I312">
        <v>13</v>
      </c>
      <c r="J312" s="2" t="s">
        <v>17</v>
      </c>
      <c r="K312">
        <v>6507</v>
      </c>
      <c r="L312" t="str">
        <f>_xlfn.XLOOKUP(G312, CodeDescriptions!B:B, CodeDescriptions!C:C, "Unknown")</f>
        <v>DOOR PROBLEMS (FAULTY EQUIPMENT)</v>
      </c>
    </row>
    <row r="313" spans="1:12" x14ac:dyDescent="0.2">
      <c r="A313">
        <v>312</v>
      </c>
      <c r="B313" s="1">
        <v>46020</v>
      </c>
      <c r="C313" s="2" t="s">
        <v>13</v>
      </c>
      <c r="D313" s="3">
        <v>0.63055555555555554</v>
      </c>
      <c r="E313" s="2" t="s">
        <v>40</v>
      </c>
      <c r="F313" s="2" t="s">
        <v>30</v>
      </c>
      <c r="G313" s="2" t="s">
        <v>98</v>
      </c>
      <c r="H313">
        <v>17</v>
      </c>
      <c r="I313">
        <v>24</v>
      </c>
      <c r="J313" s="2" t="s">
        <v>17</v>
      </c>
      <c r="K313">
        <v>6511</v>
      </c>
      <c r="L313" t="str">
        <f>_xlfn.XLOOKUP(G313, CodeDescriptions!B:B, CodeDescriptions!C:C, "Unknown")</f>
        <v>YARD-/CARHOUSE-RELATED PROBLEMS</v>
      </c>
    </row>
    <row r="314" spans="1:12" x14ac:dyDescent="0.2">
      <c r="A314">
        <v>313</v>
      </c>
      <c r="B314" s="1">
        <v>46020</v>
      </c>
      <c r="C314" s="2" t="s">
        <v>13</v>
      </c>
      <c r="D314" s="3">
        <v>0.64097222222222228</v>
      </c>
      <c r="E314" s="2" t="s">
        <v>40</v>
      </c>
      <c r="F314" s="2" t="s">
        <v>133</v>
      </c>
      <c r="G314" s="2" t="s">
        <v>23</v>
      </c>
      <c r="H314">
        <v>8</v>
      </c>
      <c r="I314">
        <v>14</v>
      </c>
      <c r="J314" s="2" t="s">
        <v>17</v>
      </c>
      <c r="K314">
        <v>6237</v>
      </c>
      <c r="L314" t="str">
        <f>_xlfn.XLOOKUP(G314, CodeDescriptions!B:B, CodeDescriptions!C:C, "Unknown")</f>
        <v>MISCELLANEOUS TRANSPORTATION OTHER (EMPLOYEE NON-CHARGEABLE)</v>
      </c>
    </row>
    <row r="315" spans="1:12" x14ac:dyDescent="0.2">
      <c r="A315">
        <v>314</v>
      </c>
      <c r="B315" s="1">
        <v>46020</v>
      </c>
      <c r="C315" s="2" t="s">
        <v>13</v>
      </c>
      <c r="D315" s="3">
        <v>0.74375000000000002</v>
      </c>
      <c r="E315" s="2" t="s">
        <v>40</v>
      </c>
      <c r="F315" s="2" t="s">
        <v>21</v>
      </c>
      <c r="G315" s="2" t="s">
        <v>54</v>
      </c>
      <c r="H315">
        <v>0</v>
      </c>
      <c r="I315">
        <v>0</v>
      </c>
      <c r="J315" s="2" t="s">
        <v>1</v>
      </c>
      <c r="K315">
        <v>6516</v>
      </c>
      <c r="L315" t="str">
        <f>_xlfn.XLOOKUP(G315, CodeDescriptions!B:B, CodeDescriptions!C:C, "Unknown")</f>
        <v>TRACK SWITCH FAILURE</v>
      </c>
    </row>
    <row r="316" spans="1:12" x14ac:dyDescent="0.2">
      <c r="A316">
        <v>315</v>
      </c>
      <c r="B316" s="1">
        <v>46020</v>
      </c>
      <c r="C316" s="2" t="s">
        <v>13</v>
      </c>
      <c r="D316" s="3">
        <v>0.79652777777777772</v>
      </c>
      <c r="E316" s="2" t="s">
        <v>40</v>
      </c>
      <c r="F316" s="2" t="s">
        <v>87</v>
      </c>
      <c r="G316" s="2" t="s">
        <v>54</v>
      </c>
      <c r="H316">
        <v>0</v>
      </c>
      <c r="I316">
        <v>0</v>
      </c>
      <c r="J316" s="2" t="s">
        <v>24</v>
      </c>
      <c r="K316">
        <v>6509</v>
      </c>
      <c r="L316" t="str">
        <f>_xlfn.XLOOKUP(G316, CodeDescriptions!B:B, CodeDescriptions!C:C, "Unknown")</f>
        <v>TRACK SWITCH FAILURE</v>
      </c>
    </row>
    <row r="317" spans="1:12" x14ac:dyDescent="0.2">
      <c r="A317">
        <v>316</v>
      </c>
      <c r="B317" s="1">
        <v>46020</v>
      </c>
      <c r="C317" s="2" t="s">
        <v>13</v>
      </c>
      <c r="D317" s="3">
        <v>0.80625000000000002</v>
      </c>
      <c r="E317" s="2" t="s">
        <v>40</v>
      </c>
      <c r="F317" s="2" t="s">
        <v>27</v>
      </c>
      <c r="G317" s="2" t="s">
        <v>26</v>
      </c>
      <c r="H317">
        <v>10</v>
      </c>
      <c r="I317">
        <v>20</v>
      </c>
      <c r="J317" s="2" t="s">
        <v>17</v>
      </c>
      <c r="K317">
        <v>6507</v>
      </c>
      <c r="L317" t="str">
        <f>_xlfn.XLOOKUP(G317, CodeDescriptions!B:B, CodeDescriptions!C:C, "Unknown")</f>
        <v>EQUIPMENT - OTHER</v>
      </c>
    </row>
    <row r="318" spans="1:12" x14ac:dyDescent="0.2">
      <c r="A318">
        <v>317</v>
      </c>
      <c r="B318" s="1">
        <v>46020</v>
      </c>
      <c r="C318" s="2" t="s">
        <v>13</v>
      </c>
      <c r="D318" s="3">
        <v>0.87777777777777777</v>
      </c>
      <c r="E318" s="2" t="s">
        <v>40</v>
      </c>
      <c r="F318" s="2" t="s">
        <v>15</v>
      </c>
      <c r="G318" s="2" t="s">
        <v>26</v>
      </c>
      <c r="H318">
        <v>13</v>
      </c>
      <c r="I318">
        <v>20</v>
      </c>
      <c r="J318" s="2" t="s">
        <v>17</v>
      </c>
      <c r="K318">
        <v>6515</v>
      </c>
      <c r="L318" t="str">
        <f>_xlfn.XLOOKUP(G318, CodeDescriptions!B:B, CodeDescriptions!C:C, "Unknown")</f>
        <v>EQUIPMENT - OTHER</v>
      </c>
    </row>
    <row r="319" spans="1:12" x14ac:dyDescent="0.2">
      <c r="A319">
        <v>318</v>
      </c>
      <c r="B319" s="1">
        <v>46020</v>
      </c>
      <c r="C319" s="2" t="s">
        <v>13</v>
      </c>
      <c r="D319" s="3">
        <v>0.8833333333333333</v>
      </c>
      <c r="E319" s="2" t="s">
        <v>40</v>
      </c>
      <c r="F319" s="2" t="s">
        <v>134</v>
      </c>
      <c r="G319" s="2" t="s">
        <v>54</v>
      </c>
      <c r="H319">
        <v>0</v>
      </c>
      <c r="I319">
        <v>0</v>
      </c>
      <c r="J319" s="2" t="s">
        <v>1</v>
      </c>
      <c r="K319">
        <v>6507</v>
      </c>
      <c r="L319" t="str">
        <f>_xlfn.XLOOKUP(G319, CodeDescriptions!B:B, CodeDescriptions!C:C, "Unknown")</f>
        <v>TRACK SWITCH FAILURE</v>
      </c>
    </row>
    <row r="320" spans="1:12" x14ac:dyDescent="0.2">
      <c r="A320">
        <v>319</v>
      </c>
      <c r="B320" s="1">
        <v>46021</v>
      </c>
      <c r="C320" s="2" t="s">
        <v>13</v>
      </c>
      <c r="D320" s="3">
        <v>0.2298611111111111</v>
      </c>
      <c r="E320" s="2" t="s">
        <v>52</v>
      </c>
      <c r="F320" s="2" t="s">
        <v>50</v>
      </c>
      <c r="G320" s="2" t="s">
        <v>20</v>
      </c>
      <c r="H320">
        <v>0</v>
      </c>
      <c r="I320">
        <v>0</v>
      </c>
      <c r="J320" s="2" t="s">
        <v>17</v>
      </c>
      <c r="K320">
        <v>6501</v>
      </c>
      <c r="L320" t="str">
        <f>_xlfn.XLOOKUP(G320, CodeDescriptions!B:B, CodeDescriptions!C:C, "Unknown")</f>
        <v>BRAKES</v>
      </c>
    </row>
    <row r="321" spans="1:12" x14ac:dyDescent="0.2">
      <c r="A321">
        <v>320</v>
      </c>
      <c r="B321" s="1">
        <v>46021</v>
      </c>
      <c r="C321" s="2" t="s">
        <v>13</v>
      </c>
      <c r="D321" s="3">
        <v>0.29097222222222224</v>
      </c>
      <c r="E321" s="2" t="s">
        <v>52</v>
      </c>
      <c r="F321" s="2" t="s">
        <v>27</v>
      </c>
      <c r="G321" s="2" t="s">
        <v>20</v>
      </c>
      <c r="H321">
        <v>0</v>
      </c>
      <c r="I321">
        <v>0</v>
      </c>
      <c r="J321" s="2" t="s">
        <v>17</v>
      </c>
      <c r="K321">
        <v>6502</v>
      </c>
      <c r="L321" t="str">
        <f>_xlfn.XLOOKUP(G321, CodeDescriptions!B:B, CodeDescriptions!C:C, "Unknown")</f>
        <v>BRAKES</v>
      </c>
    </row>
    <row r="322" spans="1:12" x14ac:dyDescent="0.2">
      <c r="A322">
        <v>321</v>
      </c>
      <c r="B322" s="1">
        <v>46021</v>
      </c>
      <c r="C322" s="2" t="s">
        <v>13</v>
      </c>
      <c r="D322" s="3">
        <v>0.29444444444444445</v>
      </c>
      <c r="E322" s="2" t="s">
        <v>52</v>
      </c>
      <c r="F322" s="2" t="s">
        <v>47</v>
      </c>
      <c r="G322" s="2" t="s">
        <v>20</v>
      </c>
      <c r="H322">
        <v>0</v>
      </c>
      <c r="I322">
        <v>0</v>
      </c>
      <c r="J322" s="2" t="s">
        <v>1</v>
      </c>
      <c r="K322">
        <v>6507</v>
      </c>
      <c r="L322" t="str">
        <f>_xlfn.XLOOKUP(G322, CodeDescriptions!B:B, CodeDescriptions!C:C, "Unknown")</f>
        <v>BRAKES</v>
      </c>
    </row>
    <row r="323" spans="1:12" x14ac:dyDescent="0.2">
      <c r="A323">
        <v>322</v>
      </c>
      <c r="B323" s="1">
        <v>46021</v>
      </c>
      <c r="C323" s="2" t="s">
        <v>13</v>
      </c>
      <c r="D323" s="3">
        <v>0.4826388888888889</v>
      </c>
      <c r="E323" s="2" t="s">
        <v>52</v>
      </c>
      <c r="F323" s="2" t="s">
        <v>53</v>
      </c>
      <c r="G323" s="2" t="s">
        <v>20</v>
      </c>
      <c r="H323">
        <v>11</v>
      </c>
      <c r="I323">
        <v>21</v>
      </c>
      <c r="J323" s="2" t="s">
        <v>1</v>
      </c>
      <c r="K323">
        <v>6504</v>
      </c>
      <c r="L323" t="str">
        <f>_xlfn.XLOOKUP(G323, CodeDescriptions!B:B, CodeDescriptions!C:C, "Unknown")</f>
        <v>BRAKES</v>
      </c>
    </row>
    <row r="324" spans="1:12" x14ac:dyDescent="0.2">
      <c r="A324">
        <v>323</v>
      </c>
      <c r="B324" s="1">
        <v>46021</v>
      </c>
      <c r="C324" s="2" t="s">
        <v>13</v>
      </c>
      <c r="D324" s="3">
        <v>0.79166666666666663</v>
      </c>
      <c r="E324" s="2" t="s">
        <v>52</v>
      </c>
      <c r="F324" s="2" t="s">
        <v>28</v>
      </c>
      <c r="G324" s="2" t="s">
        <v>39</v>
      </c>
      <c r="H324">
        <v>5</v>
      </c>
      <c r="I324">
        <v>11</v>
      </c>
      <c r="J324" s="2" t="s">
        <v>1</v>
      </c>
      <c r="K324">
        <v>6511</v>
      </c>
      <c r="L324" t="str">
        <f>_xlfn.XLOOKUP(G324, CodeDescriptions!B:B, CodeDescriptions!C:C, "Unknown")</f>
        <v>DOOR PROBLEMS (FAULTY EQUIPMENT)</v>
      </c>
    </row>
    <row r="325" spans="1:12" x14ac:dyDescent="0.2">
      <c r="A325">
        <v>324</v>
      </c>
      <c r="B325" s="1">
        <v>46021</v>
      </c>
      <c r="C325" s="2" t="s">
        <v>13</v>
      </c>
      <c r="D325" s="3">
        <v>0.85902777777777772</v>
      </c>
      <c r="E325" s="2" t="s">
        <v>52</v>
      </c>
      <c r="F325" s="2" t="s">
        <v>50</v>
      </c>
      <c r="G325" s="2" t="s">
        <v>26</v>
      </c>
      <c r="H325">
        <v>10</v>
      </c>
      <c r="I325">
        <v>22</v>
      </c>
      <c r="J325" s="2" t="s">
        <v>1</v>
      </c>
      <c r="K325">
        <v>6506</v>
      </c>
      <c r="L325" t="str">
        <f>_xlfn.XLOOKUP(G325, CodeDescriptions!B:B, CodeDescriptions!C:C, "Unknown")</f>
        <v>EQUIPMENT - OTHER</v>
      </c>
    </row>
    <row r="326" spans="1:12" x14ac:dyDescent="0.2">
      <c r="A326">
        <v>325</v>
      </c>
      <c r="B326" s="1">
        <v>46021</v>
      </c>
      <c r="C326" s="2" t="s">
        <v>13</v>
      </c>
      <c r="D326" s="3">
        <v>0.86736111111111114</v>
      </c>
      <c r="E326" s="2" t="s">
        <v>52</v>
      </c>
      <c r="F326" s="2" t="s">
        <v>50</v>
      </c>
      <c r="G326" s="2" t="s">
        <v>20</v>
      </c>
      <c r="H326">
        <v>0</v>
      </c>
      <c r="I326">
        <v>0</v>
      </c>
      <c r="J326" s="2" t="s">
        <v>17</v>
      </c>
      <c r="K326">
        <v>6514</v>
      </c>
      <c r="L326" t="str">
        <f>_xlfn.XLOOKUP(G326, CodeDescriptions!B:B, CodeDescriptions!C:C, "Unknown")</f>
        <v>BRAKES</v>
      </c>
    </row>
    <row r="327" spans="1:12" x14ac:dyDescent="0.2">
      <c r="A327">
        <v>326</v>
      </c>
      <c r="B327" s="1">
        <v>46021</v>
      </c>
      <c r="C327" s="2" t="s">
        <v>13</v>
      </c>
      <c r="D327" s="3">
        <v>0.8979166666666667</v>
      </c>
      <c r="E327" s="2" t="s">
        <v>52</v>
      </c>
      <c r="F327" s="2" t="s">
        <v>64</v>
      </c>
      <c r="G327" s="2" t="s">
        <v>29</v>
      </c>
      <c r="H327">
        <v>14</v>
      </c>
      <c r="I327">
        <v>26</v>
      </c>
      <c r="J327" s="2" t="s">
        <v>1</v>
      </c>
      <c r="K327">
        <v>6507</v>
      </c>
      <c r="L327" t="str">
        <f>_xlfn.XLOOKUP(G327, CodeDescriptions!B:B, CodeDescriptions!C:C, "Unknown")</f>
        <v>TRANSPORTATION OTHER</v>
      </c>
    </row>
    <row r="328" spans="1:12" x14ac:dyDescent="0.2">
      <c r="A328">
        <v>327</v>
      </c>
      <c r="B328" s="1">
        <v>46022</v>
      </c>
      <c r="C328" s="2" t="s">
        <v>13</v>
      </c>
      <c r="D328" s="3">
        <v>0.24374999999999999</v>
      </c>
      <c r="E328" s="2" t="s">
        <v>59</v>
      </c>
      <c r="F328" s="2" t="s">
        <v>15</v>
      </c>
      <c r="G328" s="2" t="s">
        <v>20</v>
      </c>
      <c r="H328">
        <v>0</v>
      </c>
      <c r="I328">
        <v>0</v>
      </c>
      <c r="J328" s="2" t="s">
        <v>17</v>
      </c>
      <c r="K328">
        <v>6500</v>
      </c>
      <c r="L328" t="str">
        <f>_xlfn.XLOOKUP(G328, CodeDescriptions!B:B, CodeDescriptions!C:C, "Unknown")</f>
        <v>BRAKES</v>
      </c>
    </row>
    <row r="329" spans="1:12" x14ac:dyDescent="0.2">
      <c r="A329">
        <v>328</v>
      </c>
      <c r="B329" s="1">
        <v>46022</v>
      </c>
      <c r="C329" s="2" t="s">
        <v>13</v>
      </c>
      <c r="D329" s="3">
        <v>0.30069444444444443</v>
      </c>
      <c r="E329" s="2" t="s">
        <v>59</v>
      </c>
      <c r="F329" s="2" t="s">
        <v>21</v>
      </c>
      <c r="G329" s="2" t="s">
        <v>54</v>
      </c>
      <c r="H329">
        <v>5</v>
      </c>
      <c r="I329">
        <v>20</v>
      </c>
      <c r="J329" s="2" t="s">
        <v>17</v>
      </c>
      <c r="K329">
        <v>0</v>
      </c>
      <c r="L329" t="str">
        <f>_xlfn.XLOOKUP(G329, CodeDescriptions!B:B, CodeDescriptions!C:C, "Unknown")</f>
        <v>TRACK SWITCH FAILURE</v>
      </c>
    </row>
    <row r="330" spans="1:12" x14ac:dyDescent="0.2">
      <c r="A330">
        <v>329</v>
      </c>
      <c r="B330" s="1">
        <v>46022</v>
      </c>
      <c r="C330" s="2" t="s">
        <v>13</v>
      </c>
      <c r="D330" s="3">
        <v>0.30972222222222223</v>
      </c>
      <c r="E330" s="2" t="s">
        <v>59</v>
      </c>
      <c r="F330" s="2" t="s">
        <v>47</v>
      </c>
      <c r="G330" s="2" t="s">
        <v>31</v>
      </c>
      <c r="H330">
        <v>17</v>
      </c>
      <c r="I330">
        <v>23</v>
      </c>
      <c r="J330" s="2" t="s">
        <v>17</v>
      </c>
      <c r="K330">
        <v>6508</v>
      </c>
      <c r="L330" t="str">
        <f>_xlfn.XLOOKUP(G330, CodeDescriptions!B:B, CodeDescriptions!C:C, "Unknown")</f>
        <v>OPERATOR OVERSHOT PLATFORM</v>
      </c>
    </row>
    <row r="331" spans="1:12" x14ac:dyDescent="0.2">
      <c r="A331">
        <v>330</v>
      </c>
      <c r="B331" s="1">
        <v>46022</v>
      </c>
      <c r="C331" s="2" t="s">
        <v>13</v>
      </c>
      <c r="D331" s="3">
        <v>0.31805555555555554</v>
      </c>
      <c r="E331" s="2" t="s">
        <v>59</v>
      </c>
      <c r="F331" s="2" t="s">
        <v>47</v>
      </c>
      <c r="G331" s="2" t="s">
        <v>29</v>
      </c>
      <c r="H331">
        <v>8</v>
      </c>
      <c r="I331">
        <v>14</v>
      </c>
      <c r="J331" s="2" t="s">
        <v>1</v>
      </c>
      <c r="K331">
        <v>6511</v>
      </c>
      <c r="L331" t="str">
        <f>_xlfn.XLOOKUP(G331, CodeDescriptions!B:B, CodeDescriptions!C:C, "Unknown")</f>
        <v>TRANSPORTATION OTHER</v>
      </c>
    </row>
    <row r="332" spans="1:12" x14ac:dyDescent="0.2">
      <c r="A332">
        <v>331</v>
      </c>
      <c r="B332" s="1">
        <v>46022</v>
      </c>
      <c r="C332" s="2" t="s">
        <v>13</v>
      </c>
      <c r="D332" s="3">
        <v>0.32500000000000001</v>
      </c>
      <c r="E332" s="2" t="s">
        <v>59</v>
      </c>
      <c r="F332" s="2" t="s">
        <v>44</v>
      </c>
      <c r="G332" s="2" t="s">
        <v>19</v>
      </c>
      <c r="H332">
        <v>3</v>
      </c>
      <c r="I332">
        <v>9</v>
      </c>
      <c r="J332" s="2" t="s">
        <v>17</v>
      </c>
      <c r="K332">
        <v>6501</v>
      </c>
      <c r="L332" t="str">
        <f>_xlfn.XLOOKUP(G332, CodeDescriptions!B:B, CodeDescriptions!C:C, "Unknown")</f>
        <v>TRACTION MOTORS</v>
      </c>
    </row>
    <row r="333" spans="1:12" x14ac:dyDescent="0.2">
      <c r="A333">
        <v>332</v>
      </c>
      <c r="B333" s="1">
        <v>46022</v>
      </c>
      <c r="C333" s="2" t="s">
        <v>13</v>
      </c>
      <c r="D333" s="3">
        <v>0.37847222222222221</v>
      </c>
      <c r="E333" s="2" t="s">
        <v>59</v>
      </c>
      <c r="F333" s="2" t="s">
        <v>33</v>
      </c>
      <c r="G333" s="2" t="s">
        <v>130</v>
      </c>
      <c r="H333">
        <v>3</v>
      </c>
      <c r="I333">
        <v>9</v>
      </c>
      <c r="J333" s="2" t="s">
        <v>17</v>
      </c>
      <c r="K333">
        <v>6513</v>
      </c>
      <c r="L333" t="str">
        <f>_xlfn.XLOOKUP(G333, CodeDescriptions!B:B, CodeDescriptions!C:C, "Unknown")</f>
        <v>WEATHER REPORTS / RELATED PROBLEMS</v>
      </c>
    </row>
    <row r="334" spans="1:12" x14ac:dyDescent="0.2">
      <c r="A334">
        <v>333</v>
      </c>
      <c r="B334" s="1">
        <v>46022</v>
      </c>
      <c r="C334" s="2" t="s">
        <v>13</v>
      </c>
      <c r="D334" s="3">
        <v>0.38680555555555557</v>
      </c>
      <c r="E334" s="2" t="s">
        <v>59</v>
      </c>
      <c r="F334" s="2" t="s">
        <v>135</v>
      </c>
      <c r="G334" s="2" t="s">
        <v>136</v>
      </c>
      <c r="H334">
        <v>6</v>
      </c>
      <c r="I334">
        <v>12</v>
      </c>
      <c r="J334" s="2" t="s">
        <v>17</v>
      </c>
      <c r="K334">
        <v>6506</v>
      </c>
      <c r="L334" t="str">
        <f>_xlfn.XLOOKUP(G334, CodeDescriptions!B:B, CodeDescriptions!C:C, "Unknown")</f>
        <v>WARNING / ALARM SYSTEM / PASSENGER SECURITY SYSTEM / CCTV</v>
      </c>
    </row>
    <row r="335" spans="1:12" x14ac:dyDescent="0.2">
      <c r="A335">
        <v>334</v>
      </c>
      <c r="B335" s="1">
        <v>46022</v>
      </c>
      <c r="C335" s="2" t="s">
        <v>13</v>
      </c>
      <c r="D335" s="3">
        <v>0.3972222222222222</v>
      </c>
      <c r="E335" s="2" t="s">
        <v>59</v>
      </c>
      <c r="F335" s="2" t="s">
        <v>47</v>
      </c>
      <c r="G335" s="2" t="s">
        <v>130</v>
      </c>
      <c r="H335">
        <v>3</v>
      </c>
      <c r="I335">
        <v>9</v>
      </c>
      <c r="J335" s="2" t="s">
        <v>17</v>
      </c>
      <c r="K335">
        <v>6503</v>
      </c>
      <c r="L335" t="str">
        <f>_xlfn.XLOOKUP(G335, CodeDescriptions!B:B, CodeDescriptions!C:C, "Unknown")</f>
        <v>WEATHER REPORTS / RELATED PROBLEMS</v>
      </c>
    </row>
    <row r="336" spans="1:12" x14ac:dyDescent="0.2">
      <c r="A336">
        <v>335</v>
      </c>
      <c r="B336" s="1">
        <v>46022</v>
      </c>
      <c r="C336" s="2" t="s">
        <v>13</v>
      </c>
      <c r="D336" s="3">
        <v>0.4826388888888889</v>
      </c>
      <c r="E336" s="2" t="s">
        <v>59</v>
      </c>
      <c r="F336" s="2" t="s">
        <v>53</v>
      </c>
      <c r="G336" s="2" t="s">
        <v>130</v>
      </c>
      <c r="H336">
        <v>9</v>
      </c>
      <c r="I336">
        <v>16</v>
      </c>
      <c r="J336" s="2" t="s">
        <v>1</v>
      </c>
      <c r="K336">
        <v>6503</v>
      </c>
      <c r="L336" t="str">
        <f>_xlfn.XLOOKUP(G336, CodeDescriptions!B:B, CodeDescriptions!C:C, "Unknown")</f>
        <v>WEATHER REPORTS / RELATED PROBLEMS</v>
      </c>
    </row>
    <row r="337" spans="1:12" x14ac:dyDescent="0.2">
      <c r="A337">
        <v>336</v>
      </c>
      <c r="B337" s="1">
        <v>46022</v>
      </c>
      <c r="C337" s="2" t="s">
        <v>13</v>
      </c>
      <c r="D337" s="3">
        <v>0.50347222222222221</v>
      </c>
      <c r="E337" s="2" t="s">
        <v>59</v>
      </c>
      <c r="F337" s="2" t="s">
        <v>34</v>
      </c>
      <c r="G337" s="2" t="s">
        <v>83</v>
      </c>
      <c r="H337">
        <v>5</v>
      </c>
      <c r="I337">
        <v>15</v>
      </c>
      <c r="J337" s="2" t="s">
        <v>17</v>
      </c>
      <c r="K337">
        <v>6515</v>
      </c>
      <c r="L337" t="str">
        <f>_xlfn.XLOOKUP(G337, CodeDescriptions!B:B, CodeDescriptions!C:C, "Unknown")</f>
        <v>TRUCKS</v>
      </c>
    </row>
    <row r="338" spans="1:12" x14ac:dyDescent="0.2">
      <c r="A338">
        <v>337</v>
      </c>
      <c r="B338" s="1">
        <v>46022</v>
      </c>
      <c r="C338" s="2" t="s">
        <v>13</v>
      </c>
      <c r="D338" s="3">
        <v>0.51180555555555551</v>
      </c>
      <c r="E338" s="2" t="s">
        <v>59</v>
      </c>
      <c r="F338" s="2" t="s">
        <v>28</v>
      </c>
      <c r="G338" s="2" t="s">
        <v>130</v>
      </c>
      <c r="H338">
        <v>4</v>
      </c>
      <c r="I338">
        <v>10</v>
      </c>
      <c r="J338" s="2" t="s">
        <v>17</v>
      </c>
      <c r="K338">
        <v>6513</v>
      </c>
      <c r="L338" t="str">
        <f>_xlfn.XLOOKUP(G338, CodeDescriptions!B:B, CodeDescriptions!C:C, "Unknown")</f>
        <v>WEATHER REPORTS / RELATED PROBLEMS</v>
      </c>
    </row>
    <row r="339" spans="1:12" x14ac:dyDescent="0.2">
      <c r="A339">
        <v>338</v>
      </c>
      <c r="B339" s="1">
        <v>46022</v>
      </c>
      <c r="C339" s="2" t="s">
        <v>13</v>
      </c>
      <c r="D339" s="3">
        <v>0.52638888888888891</v>
      </c>
      <c r="E339" s="2" t="s">
        <v>59</v>
      </c>
      <c r="F339" s="2" t="s">
        <v>18</v>
      </c>
      <c r="G339" s="2" t="s">
        <v>130</v>
      </c>
      <c r="H339">
        <v>4</v>
      </c>
      <c r="I339">
        <v>14</v>
      </c>
      <c r="J339" s="2" t="s">
        <v>17</v>
      </c>
      <c r="K339">
        <v>6513</v>
      </c>
      <c r="L339" t="str">
        <f>_xlfn.XLOOKUP(G339, CodeDescriptions!B:B, CodeDescriptions!C:C, "Unknown")</f>
        <v>WEATHER REPORTS / RELATED PROBLEMS</v>
      </c>
    </row>
    <row r="340" spans="1:12" x14ac:dyDescent="0.2">
      <c r="A340">
        <v>339</v>
      </c>
      <c r="B340" s="1">
        <v>46022</v>
      </c>
      <c r="C340" s="2" t="s">
        <v>13</v>
      </c>
      <c r="D340" s="3">
        <v>0.56180555555555556</v>
      </c>
      <c r="E340" s="2" t="s">
        <v>59</v>
      </c>
      <c r="F340" s="2" t="s">
        <v>34</v>
      </c>
      <c r="G340" s="2" t="s">
        <v>112</v>
      </c>
      <c r="H340">
        <v>4</v>
      </c>
      <c r="I340">
        <v>14</v>
      </c>
      <c r="J340" s="2" t="s">
        <v>17</v>
      </c>
      <c r="K340">
        <v>6511</v>
      </c>
      <c r="L340" t="str">
        <f>_xlfn.XLOOKUP(G340, CodeDescriptions!B:B, CodeDescriptions!C:C, "Unknown")</f>
        <v>DOOR PROBLEMS – PASSENGER RELATED</v>
      </c>
    </row>
    <row r="341" spans="1:12" x14ac:dyDescent="0.2">
      <c r="A341">
        <v>340</v>
      </c>
      <c r="B341" s="1">
        <v>46022</v>
      </c>
      <c r="C341" s="2" t="s">
        <v>13</v>
      </c>
      <c r="D341" s="3">
        <v>0.56180555555555556</v>
      </c>
      <c r="E341" s="2" t="s">
        <v>59</v>
      </c>
      <c r="F341" s="2" t="s">
        <v>44</v>
      </c>
      <c r="G341" s="2" t="s">
        <v>130</v>
      </c>
      <c r="H341">
        <v>4</v>
      </c>
      <c r="I341">
        <v>14</v>
      </c>
      <c r="J341" s="2" t="s">
        <v>1</v>
      </c>
      <c r="K341">
        <v>6515</v>
      </c>
      <c r="L341" t="str">
        <f>_xlfn.XLOOKUP(G341, CodeDescriptions!B:B, CodeDescriptions!C:C, "Unknown")</f>
        <v>WEATHER REPORTS / RELATED PROBLEMS</v>
      </c>
    </row>
    <row r="342" spans="1:12" x14ac:dyDescent="0.2">
      <c r="A342">
        <v>341</v>
      </c>
      <c r="B342" s="1">
        <v>46022</v>
      </c>
      <c r="C342" s="2" t="s">
        <v>13</v>
      </c>
      <c r="D342" s="3">
        <v>0.57152777777777775</v>
      </c>
      <c r="E342" s="2" t="s">
        <v>59</v>
      </c>
      <c r="F342" s="2" t="s">
        <v>21</v>
      </c>
      <c r="G342" s="2" t="s">
        <v>38</v>
      </c>
      <c r="H342">
        <v>4</v>
      </c>
      <c r="I342">
        <v>14</v>
      </c>
      <c r="J342" s="2" t="s">
        <v>24</v>
      </c>
      <c r="K342">
        <v>6516</v>
      </c>
      <c r="L342" t="str">
        <f>_xlfn.XLOOKUP(G342, CodeDescriptions!B:B, CodeDescriptions!C:C, "Unknown")</f>
        <v>UNABLE TO MAINT SCHED DUE TO TRAFFIC/PASSENGER CONGESTION</v>
      </c>
    </row>
    <row r="343" spans="1:12" x14ac:dyDescent="0.2">
      <c r="A343">
        <v>342</v>
      </c>
      <c r="B343" s="1">
        <v>46022</v>
      </c>
      <c r="C343" s="2" t="s">
        <v>13</v>
      </c>
      <c r="D343" s="3">
        <v>0.62916666666666665</v>
      </c>
      <c r="E343" s="2" t="s">
        <v>59</v>
      </c>
      <c r="F343" s="2" t="s">
        <v>30</v>
      </c>
      <c r="G343" s="2" t="s">
        <v>130</v>
      </c>
      <c r="H343">
        <v>4</v>
      </c>
      <c r="I343">
        <v>14</v>
      </c>
      <c r="J343" s="2" t="s">
        <v>1</v>
      </c>
      <c r="K343">
        <v>6504</v>
      </c>
      <c r="L343" t="str">
        <f>_xlfn.XLOOKUP(G343, CodeDescriptions!B:B, CodeDescriptions!C:C, "Unknown")</f>
        <v>WEATHER REPORTS / RELATED PROBLEMS</v>
      </c>
    </row>
    <row r="344" spans="1:12" x14ac:dyDescent="0.2">
      <c r="A344">
        <v>343</v>
      </c>
      <c r="B344" s="1">
        <v>46022</v>
      </c>
      <c r="C344" s="2" t="s">
        <v>13</v>
      </c>
      <c r="D344" s="3">
        <v>0.71250000000000002</v>
      </c>
      <c r="E344" s="2" t="s">
        <v>59</v>
      </c>
      <c r="F344" s="2" t="s">
        <v>21</v>
      </c>
      <c r="G344" s="2" t="s">
        <v>46</v>
      </c>
      <c r="H344">
        <v>6</v>
      </c>
      <c r="I344">
        <v>12</v>
      </c>
      <c r="J344" s="2" t="s">
        <v>17</v>
      </c>
      <c r="K344">
        <v>6503</v>
      </c>
      <c r="L344" t="str">
        <f>_xlfn.XLOOKUP(G344, CodeDescriptions!B:B, CodeDescriptions!C:C, "Unknown")</f>
        <v>HVAC</v>
      </c>
    </row>
    <row r="345" spans="1:12" x14ac:dyDescent="0.2">
      <c r="A345">
        <v>344</v>
      </c>
      <c r="B345" s="1">
        <v>46022</v>
      </c>
      <c r="C345" s="2" t="s">
        <v>13</v>
      </c>
      <c r="D345" s="3">
        <v>0.7270833333333333</v>
      </c>
      <c r="E345" s="2" t="s">
        <v>59</v>
      </c>
      <c r="F345" s="2" t="s">
        <v>33</v>
      </c>
      <c r="G345" s="2" t="s">
        <v>80</v>
      </c>
      <c r="H345">
        <v>6</v>
      </c>
      <c r="I345">
        <v>12</v>
      </c>
      <c r="J345" s="2" t="s">
        <v>1</v>
      </c>
      <c r="K345">
        <v>6502</v>
      </c>
      <c r="L345" t="str">
        <f>_xlfn.XLOOKUP(G345, CodeDescriptions!B:B, CodeDescriptions!C:C, "Unknown")</f>
        <v>SANDERS</v>
      </c>
    </row>
    <row r="346" spans="1:12" x14ac:dyDescent="0.2">
      <c r="A346">
        <v>345</v>
      </c>
      <c r="B346" s="1">
        <v>46022</v>
      </c>
      <c r="C346" s="2" t="s">
        <v>13</v>
      </c>
      <c r="D346" s="3">
        <v>0.74652777777777779</v>
      </c>
      <c r="E346" s="2" t="s">
        <v>59</v>
      </c>
      <c r="F346" s="2" t="s">
        <v>96</v>
      </c>
      <c r="G346" s="2" t="s">
        <v>45</v>
      </c>
      <c r="H346">
        <v>0</v>
      </c>
      <c r="I346">
        <v>0</v>
      </c>
      <c r="J346" s="2" t="s">
        <v>1</v>
      </c>
      <c r="K346">
        <v>6509</v>
      </c>
      <c r="L346" t="str">
        <f>_xlfn.XLOOKUP(G346, CodeDescriptions!B:B, CodeDescriptions!C:C, "Unknown")</f>
        <v>OPERATOR OVERSPEED</v>
      </c>
    </row>
    <row r="347" spans="1:12" x14ac:dyDescent="0.2">
      <c r="A347">
        <v>346</v>
      </c>
      <c r="B347" s="1">
        <v>46022</v>
      </c>
      <c r="C347" s="2" t="s">
        <v>13</v>
      </c>
      <c r="D347" s="3">
        <v>0.7631944444444444</v>
      </c>
      <c r="E347" s="2" t="s">
        <v>59</v>
      </c>
      <c r="F347" s="2" t="s">
        <v>37</v>
      </c>
      <c r="G347" s="2" t="s">
        <v>46</v>
      </c>
      <c r="H347">
        <v>4</v>
      </c>
      <c r="I347">
        <v>14</v>
      </c>
      <c r="J347" s="2" t="s">
        <v>17</v>
      </c>
      <c r="K347">
        <v>6512</v>
      </c>
      <c r="L347" t="str">
        <f>_xlfn.XLOOKUP(G347, CodeDescriptions!B:B, CodeDescriptions!C:C, "Unknown")</f>
        <v>HVAC</v>
      </c>
    </row>
    <row r="348" spans="1:12" x14ac:dyDescent="0.2">
      <c r="A348">
        <v>347</v>
      </c>
      <c r="B348" s="1">
        <v>46022</v>
      </c>
      <c r="C348" s="2" t="s">
        <v>13</v>
      </c>
      <c r="D348" s="3">
        <v>0.79791666666666672</v>
      </c>
      <c r="E348" s="2" t="s">
        <v>59</v>
      </c>
      <c r="F348" s="2" t="s">
        <v>33</v>
      </c>
      <c r="G348" s="2" t="s">
        <v>130</v>
      </c>
      <c r="H348">
        <v>4</v>
      </c>
      <c r="I348">
        <v>14</v>
      </c>
      <c r="J348" s="2" t="s">
        <v>1</v>
      </c>
      <c r="K348">
        <v>6513</v>
      </c>
      <c r="L348" t="str">
        <f>_xlfn.XLOOKUP(G348, CodeDescriptions!B:B, CodeDescriptions!C:C, "Unknown")</f>
        <v>WEATHER REPORTS / RELATED PROBLEMS</v>
      </c>
    </row>
    <row r="349" spans="1:12" x14ac:dyDescent="0.2">
      <c r="A349">
        <v>348</v>
      </c>
      <c r="B349" s="1">
        <v>46022</v>
      </c>
      <c r="C349" s="2" t="s">
        <v>13</v>
      </c>
      <c r="D349" s="3">
        <v>0.7993055555555556</v>
      </c>
      <c r="E349" s="2" t="s">
        <v>59</v>
      </c>
      <c r="F349" s="2" t="s">
        <v>28</v>
      </c>
      <c r="G349" s="2" t="s">
        <v>112</v>
      </c>
      <c r="H349">
        <v>4</v>
      </c>
      <c r="I349">
        <v>14</v>
      </c>
      <c r="J349" s="2" t="s">
        <v>17</v>
      </c>
      <c r="K349">
        <v>6501</v>
      </c>
      <c r="L349" t="str">
        <f>_xlfn.XLOOKUP(G349, CodeDescriptions!B:B, CodeDescriptions!C:C, "Unknown")</f>
        <v>DOOR PROBLEMS – PASSENGER RELATED</v>
      </c>
    </row>
    <row r="350" spans="1:12" x14ac:dyDescent="0.2">
      <c r="A350">
        <v>349</v>
      </c>
      <c r="B350" s="1">
        <v>46022</v>
      </c>
      <c r="C350" s="2" t="s">
        <v>13</v>
      </c>
      <c r="D350" s="3">
        <v>0.87638888888888888</v>
      </c>
      <c r="E350" s="2" t="s">
        <v>59</v>
      </c>
      <c r="F350" s="2" t="s">
        <v>34</v>
      </c>
      <c r="G350" s="2" t="s">
        <v>20</v>
      </c>
      <c r="H350">
        <v>4</v>
      </c>
      <c r="I350">
        <v>14</v>
      </c>
      <c r="J350" s="2" t="s">
        <v>1</v>
      </c>
      <c r="K350">
        <v>6504</v>
      </c>
      <c r="L350" t="str">
        <f>_xlfn.XLOOKUP(G350, CodeDescriptions!B:B, CodeDescriptions!C:C, "Unknown")</f>
        <v>BRAKES</v>
      </c>
    </row>
    <row r="351" spans="1:12" x14ac:dyDescent="0.2">
      <c r="A351">
        <v>350</v>
      </c>
      <c r="B351" s="1">
        <v>46022</v>
      </c>
      <c r="C351" s="2" t="s">
        <v>13</v>
      </c>
      <c r="D351" s="3">
        <v>0.94236111111111109</v>
      </c>
      <c r="E351" s="2" t="s">
        <v>59</v>
      </c>
      <c r="F351" s="2" t="s">
        <v>30</v>
      </c>
      <c r="G351" s="2" t="s">
        <v>20</v>
      </c>
      <c r="H351">
        <v>0</v>
      </c>
      <c r="I351">
        <v>0</v>
      </c>
      <c r="J351" s="2" t="s">
        <v>1</v>
      </c>
      <c r="K351">
        <v>6504</v>
      </c>
      <c r="L351" t="str">
        <f>_xlfn.XLOOKUP(G351, CodeDescriptions!B:B, CodeDescriptions!C:C, "Unknown")</f>
        <v>BRAKES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4DEF-6104-8142-ABA5-7482AD9AF625}">
  <dimension ref="A1:C131"/>
  <sheetViews>
    <sheetView workbookViewId="0"/>
  </sheetViews>
  <sheetFormatPr baseColWidth="10" defaultRowHeight="16" x14ac:dyDescent="0.2"/>
  <cols>
    <col min="1" max="1" width="6" bestFit="1" customWidth="1"/>
    <col min="2" max="2" width="8.6640625" bestFit="1" customWidth="1"/>
    <col min="3" max="3" width="64.1640625" bestFit="1" customWidth="1"/>
  </cols>
  <sheetData>
    <row r="1" spans="1:3" x14ac:dyDescent="0.2">
      <c r="A1" t="s">
        <v>2</v>
      </c>
      <c r="B1" t="s">
        <v>137</v>
      </c>
      <c r="C1" t="s">
        <v>138</v>
      </c>
    </row>
    <row r="2" spans="1:3" x14ac:dyDescent="0.2">
      <c r="A2">
        <v>1</v>
      </c>
      <c r="B2" s="2" t="s">
        <v>46</v>
      </c>
      <c r="C2" s="2" t="s">
        <v>139</v>
      </c>
    </row>
    <row r="3" spans="1:3" x14ac:dyDescent="0.2">
      <c r="A3">
        <v>2</v>
      </c>
      <c r="B3" s="2" t="s">
        <v>140</v>
      </c>
      <c r="C3" s="2" t="s">
        <v>141</v>
      </c>
    </row>
    <row r="4" spans="1:3" x14ac:dyDescent="0.2">
      <c r="A4">
        <v>3</v>
      </c>
      <c r="B4" s="2" t="s">
        <v>79</v>
      </c>
      <c r="C4" s="2" t="s">
        <v>142</v>
      </c>
    </row>
    <row r="5" spans="1:3" x14ac:dyDescent="0.2">
      <c r="A5">
        <v>4</v>
      </c>
      <c r="B5" s="2" t="s">
        <v>20</v>
      </c>
      <c r="C5" s="2" t="s">
        <v>143</v>
      </c>
    </row>
    <row r="6" spans="1:3" x14ac:dyDescent="0.2">
      <c r="A6">
        <v>5</v>
      </c>
      <c r="B6" s="2" t="s">
        <v>22</v>
      </c>
      <c r="C6" s="2" t="s">
        <v>144</v>
      </c>
    </row>
    <row r="7" spans="1:3" x14ac:dyDescent="0.2">
      <c r="A7">
        <v>6</v>
      </c>
      <c r="B7" s="2" t="s">
        <v>145</v>
      </c>
      <c r="C7" s="2" t="s">
        <v>146</v>
      </c>
    </row>
    <row r="8" spans="1:3" x14ac:dyDescent="0.2">
      <c r="A8">
        <v>7</v>
      </c>
      <c r="B8" s="2" t="s">
        <v>73</v>
      </c>
      <c r="C8" s="2" t="s">
        <v>147</v>
      </c>
    </row>
    <row r="9" spans="1:3" x14ac:dyDescent="0.2">
      <c r="A9">
        <v>8</v>
      </c>
      <c r="B9" s="2" t="s">
        <v>148</v>
      </c>
      <c r="C9" s="2" t="s">
        <v>149</v>
      </c>
    </row>
    <row r="10" spans="1:3" x14ac:dyDescent="0.2">
      <c r="A10">
        <v>9</v>
      </c>
      <c r="B10" s="2" t="s">
        <v>150</v>
      </c>
      <c r="C10" s="2" t="s">
        <v>151</v>
      </c>
    </row>
    <row r="11" spans="1:3" x14ac:dyDescent="0.2">
      <c r="A11">
        <v>10</v>
      </c>
      <c r="B11" s="2" t="s">
        <v>39</v>
      </c>
      <c r="C11" s="2" t="s">
        <v>152</v>
      </c>
    </row>
    <row r="12" spans="1:3" x14ac:dyDescent="0.2">
      <c r="A12">
        <v>11</v>
      </c>
      <c r="B12" s="2" t="s">
        <v>82</v>
      </c>
      <c r="C12" s="2" t="s">
        <v>153</v>
      </c>
    </row>
    <row r="13" spans="1:3" x14ac:dyDescent="0.2">
      <c r="A13">
        <v>12</v>
      </c>
      <c r="B13" s="2" t="s">
        <v>74</v>
      </c>
      <c r="C13" s="2" t="s">
        <v>154</v>
      </c>
    </row>
    <row r="14" spans="1:3" x14ac:dyDescent="0.2">
      <c r="A14">
        <v>13</v>
      </c>
      <c r="B14" s="2" t="s">
        <v>155</v>
      </c>
      <c r="C14" s="2" t="s">
        <v>156</v>
      </c>
    </row>
    <row r="15" spans="1:3" x14ac:dyDescent="0.2">
      <c r="A15">
        <v>14</v>
      </c>
      <c r="B15" s="2" t="s">
        <v>67</v>
      </c>
      <c r="C15" s="2" t="s">
        <v>157</v>
      </c>
    </row>
    <row r="16" spans="1:3" x14ac:dyDescent="0.2">
      <c r="A16">
        <v>15</v>
      </c>
      <c r="B16" s="2" t="s">
        <v>158</v>
      </c>
      <c r="C16" s="2" t="s">
        <v>159</v>
      </c>
    </row>
    <row r="17" spans="1:3" x14ac:dyDescent="0.2">
      <c r="A17">
        <v>16</v>
      </c>
      <c r="B17" s="2" t="s">
        <v>71</v>
      </c>
      <c r="C17" s="2" t="s">
        <v>160</v>
      </c>
    </row>
    <row r="18" spans="1:3" x14ac:dyDescent="0.2">
      <c r="A18">
        <v>17</v>
      </c>
      <c r="B18" s="2" t="s">
        <v>161</v>
      </c>
      <c r="C18" s="2" t="s">
        <v>162</v>
      </c>
    </row>
    <row r="19" spans="1:3" x14ac:dyDescent="0.2">
      <c r="A19">
        <v>18</v>
      </c>
      <c r="B19" s="2" t="s">
        <v>26</v>
      </c>
      <c r="C19" s="2" t="s">
        <v>163</v>
      </c>
    </row>
    <row r="20" spans="1:3" x14ac:dyDescent="0.2">
      <c r="A20">
        <v>19</v>
      </c>
      <c r="B20" s="2" t="s">
        <v>164</v>
      </c>
      <c r="C20" s="2" t="s">
        <v>165</v>
      </c>
    </row>
    <row r="21" spans="1:3" x14ac:dyDescent="0.2">
      <c r="A21">
        <v>20</v>
      </c>
      <c r="B21" s="2" t="s">
        <v>166</v>
      </c>
      <c r="C21" s="2" t="s">
        <v>167</v>
      </c>
    </row>
    <row r="22" spans="1:3" x14ac:dyDescent="0.2">
      <c r="A22">
        <v>21</v>
      </c>
      <c r="B22" s="2" t="s">
        <v>168</v>
      </c>
      <c r="C22" s="2" t="s">
        <v>169</v>
      </c>
    </row>
    <row r="23" spans="1:3" x14ac:dyDescent="0.2">
      <c r="A23">
        <v>22</v>
      </c>
      <c r="B23" s="2" t="s">
        <v>170</v>
      </c>
      <c r="C23" s="2" t="s">
        <v>171</v>
      </c>
    </row>
    <row r="24" spans="1:3" x14ac:dyDescent="0.2">
      <c r="A24">
        <v>23</v>
      </c>
      <c r="B24" s="2" t="s">
        <v>80</v>
      </c>
      <c r="C24" s="2" t="s">
        <v>172</v>
      </c>
    </row>
    <row r="25" spans="1:3" x14ac:dyDescent="0.2">
      <c r="A25">
        <v>24</v>
      </c>
      <c r="B25" s="2" t="s">
        <v>173</v>
      </c>
      <c r="C25" s="2" t="s">
        <v>174</v>
      </c>
    </row>
    <row r="26" spans="1:3" x14ac:dyDescent="0.2">
      <c r="A26">
        <v>25</v>
      </c>
      <c r="B26" s="2" t="s">
        <v>175</v>
      </c>
      <c r="C26" s="2" t="s">
        <v>176</v>
      </c>
    </row>
    <row r="27" spans="1:3" x14ac:dyDescent="0.2">
      <c r="A27">
        <v>26</v>
      </c>
      <c r="B27" s="2" t="s">
        <v>19</v>
      </c>
      <c r="C27" s="2" t="s">
        <v>177</v>
      </c>
    </row>
    <row r="28" spans="1:3" x14ac:dyDescent="0.2">
      <c r="A28">
        <v>27</v>
      </c>
      <c r="B28" s="2" t="s">
        <v>83</v>
      </c>
      <c r="C28" s="2" t="s">
        <v>178</v>
      </c>
    </row>
    <row r="29" spans="1:3" x14ac:dyDescent="0.2">
      <c r="A29">
        <v>28</v>
      </c>
      <c r="B29" s="2" t="s">
        <v>179</v>
      </c>
      <c r="C29" s="2" t="s">
        <v>180</v>
      </c>
    </row>
    <row r="30" spans="1:3" x14ac:dyDescent="0.2">
      <c r="A30">
        <v>29</v>
      </c>
      <c r="B30" s="2" t="s">
        <v>181</v>
      </c>
      <c r="C30" s="2" t="s">
        <v>182</v>
      </c>
    </row>
    <row r="31" spans="1:3" x14ac:dyDescent="0.2">
      <c r="A31">
        <v>30</v>
      </c>
      <c r="B31" s="2" t="s">
        <v>181</v>
      </c>
      <c r="C31" s="2" t="s">
        <v>183</v>
      </c>
    </row>
    <row r="32" spans="1:3" x14ac:dyDescent="0.2">
      <c r="A32">
        <v>31</v>
      </c>
      <c r="B32" s="2" t="s">
        <v>136</v>
      </c>
      <c r="C32" s="2" t="s">
        <v>184</v>
      </c>
    </row>
    <row r="33" spans="1:3" x14ac:dyDescent="0.2">
      <c r="A33">
        <v>32</v>
      </c>
      <c r="B33" s="2" t="s">
        <v>185</v>
      </c>
      <c r="C33" s="2" t="s">
        <v>186</v>
      </c>
    </row>
    <row r="34" spans="1:3" x14ac:dyDescent="0.2">
      <c r="A34">
        <v>33</v>
      </c>
      <c r="B34" s="2" t="s">
        <v>127</v>
      </c>
      <c r="C34" s="2" t="s">
        <v>187</v>
      </c>
    </row>
    <row r="35" spans="1:3" x14ac:dyDescent="0.2">
      <c r="A35">
        <v>34</v>
      </c>
      <c r="B35" s="2" t="s">
        <v>98</v>
      </c>
      <c r="C35" s="2" t="s">
        <v>188</v>
      </c>
    </row>
    <row r="36" spans="1:3" x14ac:dyDescent="0.2">
      <c r="A36">
        <v>35</v>
      </c>
      <c r="B36" s="2" t="s">
        <v>65</v>
      </c>
      <c r="C36" s="2" t="s">
        <v>189</v>
      </c>
    </row>
    <row r="37" spans="1:3" x14ac:dyDescent="0.2">
      <c r="A37">
        <v>36</v>
      </c>
      <c r="B37" s="2" t="s">
        <v>190</v>
      </c>
      <c r="C37" s="2" t="s">
        <v>191</v>
      </c>
    </row>
    <row r="38" spans="1:3" x14ac:dyDescent="0.2">
      <c r="A38">
        <v>37</v>
      </c>
      <c r="B38" s="2" t="s">
        <v>192</v>
      </c>
      <c r="C38" s="2" t="s">
        <v>193</v>
      </c>
    </row>
    <row r="39" spans="1:3" x14ac:dyDescent="0.2">
      <c r="A39">
        <v>38</v>
      </c>
      <c r="B39" s="2" t="s">
        <v>112</v>
      </c>
      <c r="C39" s="2" t="s">
        <v>194</v>
      </c>
    </row>
    <row r="40" spans="1:3" x14ac:dyDescent="0.2">
      <c r="A40">
        <v>39</v>
      </c>
      <c r="B40" s="2" t="s">
        <v>195</v>
      </c>
      <c r="C40" s="2" t="s">
        <v>196</v>
      </c>
    </row>
    <row r="41" spans="1:3" x14ac:dyDescent="0.2">
      <c r="A41">
        <v>40</v>
      </c>
      <c r="B41" s="2" t="s">
        <v>197</v>
      </c>
      <c r="C41" s="2" t="s">
        <v>198</v>
      </c>
    </row>
    <row r="42" spans="1:3" x14ac:dyDescent="0.2">
      <c r="A42">
        <v>41</v>
      </c>
      <c r="B42" s="2" t="s">
        <v>199</v>
      </c>
      <c r="C42" s="2" t="s">
        <v>200</v>
      </c>
    </row>
    <row r="43" spans="1:3" x14ac:dyDescent="0.2">
      <c r="A43">
        <v>42</v>
      </c>
      <c r="B43" s="2" t="s">
        <v>201</v>
      </c>
      <c r="C43" s="2" t="s">
        <v>202</v>
      </c>
    </row>
    <row r="44" spans="1:3" x14ac:dyDescent="0.2">
      <c r="A44">
        <v>43</v>
      </c>
      <c r="B44" s="2" t="s">
        <v>121</v>
      </c>
      <c r="C44" s="2" t="s">
        <v>203</v>
      </c>
    </row>
    <row r="45" spans="1:3" x14ac:dyDescent="0.2">
      <c r="A45">
        <v>44</v>
      </c>
      <c r="B45" s="2" t="s">
        <v>204</v>
      </c>
      <c r="C45" s="2" t="s">
        <v>205</v>
      </c>
    </row>
    <row r="46" spans="1:3" x14ac:dyDescent="0.2">
      <c r="A46">
        <v>45</v>
      </c>
      <c r="B46" s="2" t="s">
        <v>206</v>
      </c>
      <c r="C46" s="2" t="s">
        <v>207</v>
      </c>
    </row>
    <row r="47" spans="1:3" x14ac:dyDescent="0.2">
      <c r="A47">
        <v>46</v>
      </c>
      <c r="B47" s="2" t="s">
        <v>72</v>
      </c>
      <c r="C47" s="2" t="s">
        <v>208</v>
      </c>
    </row>
    <row r="48" spans="1:3" x14ac:dyDescent="0.2">
      <c r="A48">
        <v>47</v>
      </c>
      <c r="B48" s="2" t="s">
        <v>109</v>
      </c>
      <c r="C48" s="2" t="s">
        <v>209</v>
      </c>
    </row>
    <row r="49" spans="1:3" x14ac:dyDescent="0.2">
      <c r="A49">
        <v>48</v>
      </c>
      <c r="B49" s="2" t="s">
        <v>131</v>
      </c>
      <c r="C49" s="2" t="s">
        <v>210</v>
      </c>
    </row>
    <row r="50" spans="1:3" x14ac:dyDescent="0.2">
      <c r="A50">
        <v>49</v>
      </c>
      <c r="B50" s="2" t="s">
        <v>36</v>
      </c>
      <c r="C50" s="2" t="s">
        <v>211</v>
      </c>
    </row>
    <row r="51" spans="1:3" x14ac:dyDescent="0.2">
      <c r="A51">
        <v>50</v>
      </c>
      <c r="B51" s="2" t="s">
        <v>212</v>
      </c>
      <c r="C51" s="2" t="s">
        <v>213</v>
      </c>
    </row>
    <row r="52" spans="1:3" x14ac:dyDescent="0.2">
      <c r="A52">
        <v>51</v>
      </c>
      <c r="B52" s="2" t="s">
        <v>214</v>
      </c>
      <c r="C52" s="2" t="s">
        <v>215</v>
      </c>
    </row>
    <row r="53" spans="1:3" x14ac:dyDescent="0.2">
      <c r="A53">
        <v>52</v>
      </c>
      <c r="B53" s="2" t="s">
        <v>216</v>
      </c>
      <c r="C53" s="2" t="s">
        <v>217</v>
      </c>
    </row>
    <row r="54" spans="1:3" x14ac:dyDescent="0.2">
      <c r="A54">
        <v>53</v>
      </c>
      <c r="B54" s="2" t="s">
        <v>128</v>
      </c>
      <c r="C54" s="2" t="s">
        <v>218</v>
      </c>
    </row>
    <row r="55" spans="1:3" x14ac:dyDescent="0.2">
      <c r="A55">
        <v>54</v>
      </c>
      <c r="B55" s="2" t="s">
        <v>32</v>
      </c>
      <c r="C55" s="2" t="s">
        <v>219</v>
      </c>
    </row>
    <row r="56" spans="1:3" x14ac:dyDescent="0.2">
      <c r="A56">
        <v>55</v>
      </c>
      <c r="B56" s="2" t="s">
        <v>91</v>
      </c>
      <c r="C56" s="2" t="s">
        <v>220</v>
      </c>
    </row>
    <row r="57" spans="1:3" x14ac:dyDescent="0.2">
      <c r="A57">
        <v>56</v>
      </c>
      <c r="B57" s="2" t="s">
        <v>221</v>
      </c>
      <c r="C57" s="2" t="s">
        <v>222</v>
      </c>
    </row>
    <row r="58" spans="1:3" x14ac:dyDescent="0.2">
      <c r="A58">
        <v>57</v>
      </c>
      <c r="B58" s="2" t="s">
        <v>223</v>
      </c>
      <c r="C58" s="2" t="s">
        <v>224</v>
      </c>
    </row>
    <row r="59" spans="1:3" x14ac:dyDescent="0.2">
      <c r="A59">
        <v>58</v>
      </c>
      <c r="B59" s="2" t="s">
        <v>225</v>
      </c>
      <c r="C59" s="2" t="s">
        <v>226</v>
      </c>
    </row>
    <row r="60" spans="1:3" x14ac:dyDescent="0.2">
      <c r="A60">
        <v>59</v>
      </c>
      <c r="B60" s="2" t="s">
        <v>132</v>
      </c>
      <c r="C60" s="2" t="s">
        <v>227</v>
      </c>
    </row>
    <row r="61" spans="1:3" x14ac:dyDescent="0.2">
      <c r="A61">
        <v>60</v>
      </c>
      <c r="B61" s="2" t="s">
        <v>228</v>
      </c>
      <c r="C61" s="2" t="s">
        <v>229</v>
      </c>
    </row>
    <row r="62" spans="1:3" x14ac:dyDescent="0.2">
      <c r="A62">
        <v>61</v>
      </c>
      <c r="B62" s="2" t="s">
        <v>230</v>
      </c>
      <c r="C62" s="2" t="s">
        <v>231</v>
      </c>
    </row>
    <row r="63" spans="1:3" x14ac:dyDescent="0.2">
      <c r="A63">
        <v>62</v>
      </c>
      <c r="B63" s="2" t="s">
        <v>232</v>
      </c>
      <c r="C63" s="2" t="s">
        <v>233</v>
      </c>
    </row>
    <row r="64" spans="1:3" x14ac:dyDescent="0.2">
      <c r="A64">
        <v>63</v>
      </c>
      <c r="B64" s="2" t="s">
        <v>234</v>
      </c>
      <c r="C64" s="2" t="s">
        <v>235</v>
      </c>
    </row>
    <row r="65" spans="1:3" x14ac:dyDescent="0.2">
      <c r="A65">
        <v>64</v>
      </c>
      <c r="B65" s="2" t="s">
        <v>236</v>
      </c>
      <c r="C65" s="2" t="s">
        <v>237</v>
      </c>
    </row>
    <row r="66" spans="1:3" x14ac:dyDescent="0.2">
      <c r="A66">
        <v>65</v>
      </c>
      <c r="B66" s="2" t="s">
        <v>23</v>
      </c>
      <c r="C66" s="2" t="s">
        <v>238</v>
      </c>
    </row>
    <row r="67" spans="1:3" x14ac:dyDescent="0.2">
      <c r="A67">
        <v>66</v>
      </c>
      <c r="B67" s="2" t="s">
        <v>38</v>
      </c>
      <c r="C67" s="2" t="s">
        <v>239</v>
      </c>
    </row>
    <row r="68" spans="1:3" x14ac:dyDescent="0.2">
      <c r="A68">
        <v>67</v>
      </c>
      <c r="B68" s="2" t="s">
        <v>130</v>
      </c>
      <c r="C68" s="2" t="s">
        <v>240</v>
      </c>
    </row>
    <row r="69" spans="1:3" x14ac:dyDescent="0.2">
      <c r="A69">
        <v>68</v>
      </c>
      <c r="B69" s="2" t="s">
        <v>241</v>
      </c>
      <c r="C69" s="2" t="s">
        <v>242</v>
      </c>
    </row>
    <row r="70" spans="1:3" x14ac:dyDescent="0.2">
      <c r="A70">
        <v>69</v>
      </c>
      <c r="B70" s="2" t="s">
        <v>243</v>
      </c>
      <c r="C70" s="2" t="s">
        <v>244</v>
      </c>
    </row>
    <row r="71" spans="1:3" x14ac:dyDescent="0.2">
      <c r="A71">
        <v>70</v>
      </c>
      <c r="B71" s="2" t="s">
        <v>85</v>
      </c>
      <c r="C71" s="2" t="s">
        <v>245</v>
      </c>
    </row>
    <row r="72" spans="1:3" x14ac:dyDescent="0.2">
      <c r="A72">
        <v>71</v>
      </c>
      <c r="B72" s="2" t="s">
        <v>102</v>
      </c>
      <c r="C72" s="2" t="s">
        <v>246</v>
      </c>
    </row>
    <row r="73" spans="1:3" x14ac:dyDescent="0.2">
      <c r="A73">
        <v>72</v>
      </c>
      <c r="B73" s="2" t="s">
        <v>247</v>
      </c>
      <c r="C73" s="2" t="s">
        <v>248</v>
      </c>
    </row>
    <row r="74" spans="1:3" x14ac:dyDescent="0.2">
      <c r="A74">
        <v>73</v>
      </c>
      <c r="B74" s="2" t="s">
        <v>249</v>
      </c>
      <c r="C74" s="2" t="s">
        <v>250</v>
      </c>
    </row>
    <row r="75" spans="1:3" x14ac:dyDescent="0.2">
      <c r="A75">
        <v>74</v>
      </c>
      <c r="B75" s="2" t="s">
        <v>251</v>
      </c>
      <c r="C75" s="2" t="s">
        <v>252</v>
      </c>
    </row>
    <row r="76" spans="1:3" x14ac:dyDescent="0.2">
      <c r="A76">
        <v>75</v>
      </c>
      <c r="B76" s="2" t="s">
        <v>253</v>
      </c>
      <c r="C76" s="2" t="s">
        <v>254</v>
      </c>
    </row>
    <row r="77" spans="1:3" x14ac:dyDescent="0.2">
      <c r="A77">
        <v>76</v>
      </c>
      <c r="B77" s="2" t="s">
        <v>255</v>
      </c>
      <c r="C77" s="2" t="s">
        <v>256</v>
      </c>
    </row>
    <row r="78" spans="1:3" x14ac:dyDescent="0.2">
      <c r="A78">
        <v>77</v>
      </c>
      <c r="B78" s="2" t="s">
        <v>257</v>
      </c>
      <c r="C78" s="2" t="s">
        <v>258</v>
      </c>
    </row>
    <row r="79" spans="1:3" x14ac:dyDescent="0.2">
      <c r="A79">
        <v>78</v>
      </c>
      <c r="B79" s="2" t="s">
        <v>259</v>
      </c>
      <c r="C79" s="2" t="s">
        <v>260</v>
      </c>
    </row>
    <row r="80" spans="1:3" x14ac:dyDescent="0.2">
      <c r="A80">
        <v>79</v>
      </c>
      <c r="B80" s="2" t="s">
        <v>261</v>
      </c>
      <c r="C80" s="2" t="s">
        <v>262</v>
      </c>
    </row>
    <row r="81" spans="1:3" x14ac:dyDescent="0.2">
      <c r="A81">
        <v>80</v>
      </c>
      <c r="B81" s="2" t="s">
        <v>94</v>
      </c>
      <c r="C81" s="2" t="s">
        <v>263</v>
      </c>
    </row>
    <row r="82" spans="1:3" x14ac:dyDescent="0.2">
      <c r="A82">
        <v>81</v>
      </c>
      <c r="B82" s="2" t="s">
        <v>264</v>
      </c>
      <c r="C82" s="2" t="s">
        <v>265</v>
      </c>
    </row>
    <row r="83" spans="1:3" x14ac:dyDescent="0.2">
      <c r="A83">
        <v>82</v>
      </c>
      <c r="B83" s="2" t="s">
        <v>266</v>
      </c>
      <c r="C83" s="2" t="s">
        <v>267</v>
      </c>
    </row>
    <row r="84" spans="1:3" x14ac:dyDescent="0.2">
      <c r="A84">
        <v>83</v>
      </c>
      <c r="B84" s="2" t="s">
        <v>68</v>
      </c>
      <c r="C84" s="2" t="s">
        <v>268</v>
      </c>
    </row>
    <row r="85" spans="1:3" x14ac:dyDescent="0.2">
      <c r="A85">
        <v>84</v>
      </c>
      <c r="B85" s="2" t="s">
        <v>269</v>
      </c>
      <c r="C85" s="2" t="s">
        <v>270</v>
      </c>
    </row>
    <row r="86" spans="1:3" x14ac:dyDescent="0.2">
      <c r="A86">
        <v>85</v>
      </c>
      <c r="B86" s="2" t="s">
        <v>271</v>
      </c>
      <c r="C86" s="2" t="s">
        <v>272</v>
      </c>
    </row>
    <row r="87" spans="1:3" x14ac:dyDescent="0.2">
      <c r="A87">
        <v>86</v>
      </c>
      <c r="B87" s="2" t="s">
        <v>273</v>
      </c>
      <c r="C87" s="2" t="s">
        <v>274</v>
      </c>
    </row>
    <row r="88" spans="1:3" x14ac:dyDescent="0.2">
      <c r="A88">
        <v>87</v>
      </c>
      <c r="B88" s="2" t="s">
        <v>48</v>
      </c>
      <c r="C88" s="2" t="s">
        <v>275</v>
      </c>
    </row>
    <row r="89" spans="1:3" x14ac:dyDescent="0.2">
      <c r="A89">
        <v>88</v>
      </c>
      <c r="B89" s="2" t="s">
        <v>54</v>
      </c>
      <c r="C89" s="2" t="s">
        <v>276</v>
      </c>
    </row>
    <row r="90" spans="1:3" x14ac:dyDescent="0.2">
      <c r="A90">
        <v>89</v>
      </c>
      <c r="B90" s="2" t="s">
        <v>277</v>
      </c>
      <c r="C90" s="2" t="s">
        <v>278</v>
      </c>
    </row>
    <row r="91" spans="1:3" x14ac:dyDescent="0.2">
      <c r="A91">
        <v>90</v>
      </c>
      <c r="B91" s="2" t="s">
        <v>92</v>
      </c>
      <c r="C91" s="2" t="s">
        <v>279</v>
      </c>
    </row>
    <row r="92" spans="1:3" x14ac:dyDescent="0.2">
      <c r="A92">
        <v>91</v>
      </c>
      <c r="B92" s="2" t="s">
        <v>60</v>
      </c>
      <c r="C92" s="2" t="s">
        <v>280</v>
      </c>
    </row>
    <row r="93" spans="1:3" x14ac:dyDescent="0.2">
      <c r="A93">
        <v>92</v>
      </c>
      <c r="B93" s="2" t="s">
        <v>281</v>
      </c>
      <c r="C93" s="2" t="s">
        <v>282</v>
      </c>
    </row>
    <row r="94" spans="1:3" x14ac:dyDescent="0.2">
      <c r="A94">
        <v>93</v>
      </c>
      <c r="B94" s="2" t="s">
        <v>105</v>
      </c>
      <c r="C94" s="2" t="s">
        <v>283</v>
      </c>
    </row>
    <row r="95" spans="1:3" x14ac:dyDescent="0.2">
      <c r="A95">
        <v>94</v>
      </c>
      <c r="B95" s="2" t="s">
        <v>284</v>
      </c>
      <c r="C95" s="2" t="s">
        <v>285</v>
      </c>
    </row>
    <row r="96" spans="1:3" x14ac:dyDescent="0.2">
      <c r="A96">
        <v>95</v>
      </c>
      <c r="B96" s="2" t="s">
        <v>42</v>
      </c>
      <c r="C96" s="2" t="s">
        <v>286</v>
      </c>
    </row>
    <row r="97" spans="1:3" x14ac:dyDescent="0.2">
      <c r="A97">
        <v>96</v>
      </c>
      <c r="B97" s="2" t="s">
        <v>287</v>
      </c>
      <c r="C97" s="2" t="s">
        <v>288</v>
      </c>
    </row>
    <row r="98" spans="1:3" x14ac:dyDescent="0.2">
      <c r="A98">
        <v>97</v>
      </c>
      <c r="B98" s="2" t="s">
        <v>289</v>
      </c>
      <c r="C98" s="2" t="s">
        <v>290</v>
      </c>
    </row>
    <row r="99" spans="1:3" x14ac:dyDescent="0.2">
      <c r="A99">
        <v>98</v>
      </c>
      <c r="B99" s="2" t="s">
        <v>291</v>
      </c>
      <c r="C99" s="2" t="s">
        <v>292</v>
      </c>
    </row>
    <row r="100" spans="1:3" x14ac:dyDescent="0.2">
      <c r="A100">
        <v>99</v>
      </c>
      <c r="B100" s="2" t="s">
        <v>293</v>
      </c>
      <c r="C100" s="2" t="s">
        <v>294</v>
      </c>
    </row>
    <row r="101" spans="1:3" x14ac:dyDescent="0.2">
      <c r="A101">
        <v>100</v>
      </c>
      <c r="B101" s="2" t="s">
        <v>295</v>
      </c>
      <c r="C101" s="2" t="s">
        <v>296</v>
      </c>
    </row>
    <row r="102" spans="1:3" x14ac:dyDescent="0.2">
      <c r="A102">
        <v>101</v>
      </c>
      <c r="B102" s="2" t="s">
        <v>297</v>
      </c>
      <c r="C102" s="2" t="s">
        <v>298</v>
      </c>
    </row>
    <row r="103" spans="1:3" x14ac:dyDescent="0.2">
      <c r="A103">
        <v>102</v>
      </c>
      <c r="B103" s="2" t="s">
        <v>84</v>
      </c>
      <c r="C103" s="2" t="s">
        <v>299</v>
      </c>
    </row>
    <row r="104" spans="1:3" x14ac:dyDescent="0.2">
      <c r="A104">
        <v>103</v>
      </c>
      <c r="B104" s="2" t="s">
        <v>300</v>
      </c>
      <c r="C104" s="2" t="s">
        <v>301</v>
      </c>
    </row>
    <row r="105" spans="1:3" x14ac:dyDescent="0.2">
      <c r="A105">
        <v>104</v>
      </c>
      <c r="B105" s="2" t="s">
        <v>302</v>
      </c>
      <c r="C105" s="2" t="s">
        <v>303</v>
      </c>
    </row>
    <row r="106" spans="1:3" x14ac:dyDescent="0.2">
      <c r="A106">
        <v>105</v>
      </c>
      <c r="B106" s="2" t="s">
        <v>55</v>
      </c>
      <c r="C106" s="2" t="s">
        <v>304</v>
      </c>
    </row>
    <row r="107" spans="1:3" x14ac:dyDescent="0.2">
      <c r="A107">
        <v>106</v>
      </c>
      <c r="B107" s="2" t="s">
        <v>305</v>
      </c>
      <c r="C107" s="2" t="s">
        <v>306</v>
      </c>
    </row>
    <row r="108" spans="1:3" x14ac:dyDescent="0.2">
      <c r="A108">
        <v>107</v>
      </c>
      <c r="B108" s="2" t="s">
        <v>307</v>
      </c>
      <c r="C108" s="2" t="s">
        <v>308</v>
      </c>
    </row>
    <row r="109" spans="1:3" x14ac:dyDescent="0.2">
      <c r="A109">
        <v>108</v>
      </c>
      <c r="B109" s="2" t="s">
        <v>309</v>
      </c>
      <c r="C109" s="2" t="s">
        <v>310</v>
      </c>
    </row>
    <row r="110" spans="1:3" x14ac:dyDescent="0.2">
      <c r="A110">
        <v>109</v>
      </c>
      <c r="B110" s="2" t="s">
        <v>311</v>
      </c>
      <c r="C110" s="2" t="s">
        <v>312</v>
      </c>
    </row>
    <row r="111" spans="1:3" x14ac:dyDescent="0.2">
      <c r="A111">
        <v>110</v>
      </c>
      <c r="B111" s="2" t="s">
        <v>108</v>
      </c>
      <c r="C111" s="2" t="s">
        <v>313</v>
      </c>
    </row>
    <row r="112" spans="1:3" x14ac:dyDescent="0.2">
      <c r="A112">
        <v>111</v>
      </c>
      <c r="B112" s="2" t="s">
        <v>314</v>
      </c>
      <c r="C112" s="2" t="s">
        <v>315</v>
      </c>
    </row>
    <row r="113" spans="1:3" x14ac:dyDescent="0.2">
      <c r="A113">
        <v>112</v>
      </c>
      <c r="B113" s="2" t="s">
        <v>76</v>
      </c>
      <c r="C113" s="2" t="s">
        <v>316</v>
      </c>
    </row>
    <row r="114" spans="1:3" x14ac:dyDescent="0.2">
      <c r="A114">
        <v>113</v>
      </c>
      <c r="B114" s="2" t="s">
        <v>16</v>
      </c>
      <c r="C114" s="2" t="s">
        <v>317</v>
      </c>
    </row>
    <row r="115" spans="1:3" x14ac:dyDescent="0.2">
      <c r="A115">
        <v>114</v>
      </c>
      <c r="B115" s="2" t="s">
        <v>318</v>
      </c>
      <c r="C115" s="2" t="s">
        <v>319</v>
      </c>
    </row>
    <row r="116" spans="1:3" x14ac:dyDescent="0.2">
      <c r="A116">
        <v>115</v>
      </c>
      <c r="B116" s="2" t="s">
        <v>320</v>
      </c>
      <c r="C116" s="2" t="s">
        <v>321</v>
      </c>
    </row>
    <row r="117" spans="1:3" x14ac:dyDescent="0.2">
      <c r="A117">
        <v>116</v>
      </c>
      <c r="B117" s="2" t="s">
        <v>322</v>
      </c>
      <c r="C117" s="2" t="s">
        <v>323</v>
      </c>
    </row>
    <row r="118" spans="1:3" x14ac:dyDescent="0.2">
      <c r="A118">
        <v>117</v>
      </c>
      <c r="B118" s="2" t="s">
        <v>324</v>
      </c>
      <c r="C118" s="2" t="s">
        <v>325</v>
      </c>
    </row>
    <row r="119" spans="1:3" x14ac:dyDescent="0.2">
      <c r="A119">
        <v>118</v>
      </c>
      <c r="B119" s="2" t="s">
        <v>43</v>
      </c>
      <c r="C119" s="2" t="s">
        <v>326</v>
      </c>
    </row>
    <row r="120" spans="1:3" x14ac:dyDescent="0.2">
      <c r="A120">
        <v>119</v>
      </c>
      <c r="B120" s="2" t="s">
        <v>123</v>
      </c>
      <c r="C120" s="2" t="s">
        <v>327</v>
      </c>
    </row>
    <row r="121" spans="1:3" x14ac:dyDescent="0.2">
      <c r="A121">
        <v>120</v>
      </c>
      <c r="B121" s="2" t="s">
        <v>29</v>
      </c>
      <c r="C121" s="2" t="s">
        <v>328</v>
      </c>
    </row>
    <row r="122" spans="1:3" x14ac:dyDescent="0.2">
      <c r="A122">
        <v>121</v>
      </c>
      <c r="B122" s="2" t="s">
        <v>329</v>
      </c>
      <c r="C122" s="2" t="s">
        <v>330</v>
      </c>
    </row>
    <row r="123" spans="1:3" x14ac:dyDescent="0.2">
      <c r="A123">
        <v>122</v>
      </c>
      <c r="B123" s="2" t="s">
        <v>31</v>
      </c>
      <c r="C123" s="2" t="s">
        <v>331</v>
      </c>
    </row>
    <row r="124" spans="1:3" x14ac:dyDescent="0.2">
      <c r="A124">
        <v>123</v>
      </c>
      <c r="B124" s="2" t="s">
        <v>45</v>
      </c>
      <c r="C124" s="2" t="s">
        <v>332</v>
      </c>
    </row>
    <row r="125" spans="1:3" x14ac:dyDescent="0.2">
      <c r="A125">
        <v>124</v>
      </c>
      <c r="B125" s="2" t="s">
        <v>333</v>
      </c>
      <c r="C125" s="2" t="s">
        <v>334</v>
      </c>
    </row>
    <row r="126" spans="1:3" x14ac:dyDescent="0.2">
      <c r="A126">
        <v>125</v>
      </c>
      <c r="B126" s="2" t="s">
        <v>335</v>
      </c>
      <c r="C126" s="2" t="s">
        <v>336</v>
      </c>
    </row>
    <row r="127" spans="1:3" x14ac:dyDescent="0.2">
      <c r="A127">
        <v>126</v>
      </c>
      <c r="B127" s="2" t="s">
        <v>100</v>
      </c>
      <c r="C127" s="2" t="s">
        <v>337</v>
      </c>
    </row>
    <row r="128" spans="1:3" x14ac:dyDescent="0.2">
      <c r="A128">
        <v>127</v>
      </c>
      <c r="B128" s="2" t="s">
        <v>115</v>
      </c>
      <c r="C128" s="2" t="s">
        <v>338</v>
      </c>
    </row>
    <row r="129" spans="1:3" x14ac:dyDescent="0.2">
      <c r="A129">
        <v>128</v>
      </c>
      <c r="B129" s="2" t="s">
        <v>117</v>
      </c>
      <c r="C129" s="2" t="s">
        <v>339</v>
      </c>
    </row>
    <row r="130" spans="1:3" x14ac:dyDescent="0.2">
      <c r="A130">
        <v>129</v>
      </c>
      <c r="B130" s="2" t="s">
        <v>117</v>
      </c>
      <c r="C130" s="2" t="s">
        <v>339</v>
      </c>
    </row>
    <row r="131" spans="1:3" x14ac:dyDescent="0.2">
      <c r="A131">
        <v>130</v>
      </c>
      <c r="B131" s="2" t="s">
        <v>340</v>
      </c>
      <c r="C131" s="2" t="s">
        <v>332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EFAE95-A19C-7F46-AEE5-8D9FC122F5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TTC_LRT_Delays</vt:lpstr>
      <vt:lpstr>CodeDescriptions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Delphine Ji</dc:creator>
  <cp:lastModifiedBy>Delphine Ji</cp:lastModifiedBy>
  <dcterms:created xsi:type="dcterms:W3CDTF">2026-02-17T17:17:48Z</dcterms:created>
  <dcterms:modified xsi:type="dcterms:W3CDTF">2026-02-17T17:32:24Z</dcterms:modified>
</cp:coreProperties>
</file>